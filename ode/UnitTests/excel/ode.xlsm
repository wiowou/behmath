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8195" windowHeight="11580" activeTab="2"/>
  </bookViews>
  <sheets>
    <sheet name="Sheet1" sheetId="1" r:id="rId1"/>
    <sheet name="prob3" sheetId="2" r:id="rId2"/>
    <sheet name="prob3 (2)" sheetId="5" r:id="rId3"/>
  </sheets>
  <functionGroups builtInGroupCount="17"/>
  <calcPr calcId="145621"/>
</workbook>
</file>

<file path=xl/calcChain.xml><?xml version="1.0" encoding="utf-8"?>
<calcChain xmlns="http://schemas.openxmlformats.org/spreadsheetml/2006/main">
  <c r="F8" i="5" l="1"/>
  <c r="F7" i="5"/>
  <c r="F6" i="5"/>
  <c r="F5" i="5"/>
  <c r="A6" i="5"/>
  <c r="A7" i="5" s="1"/>
  <c r="A8" i="5" s="1"/>
  <c r="A9" i="5" s="1"/>
  <c r="A10" i="5" s="1"/>
  <c r="A11" i="5" s="1"/>
  <c r="A12" i="5" s="1"/>
  <c r="A13" i="5" s="1"/>
  <c r="A14" i="5" s="1"/>
  <c r="A5" i="5"/>
  <c r="AH4" i="5"/>
  <c r="AG4" i="5"/>
  <c r="AF4" i="5"/>
  <c r="AE4" i="5"/>
  <c r="AD4" i="5"/>
  <c r="AC4" i="5"/>
  <c r="AB4" i="5"/>
  <c r="AA4" i="5"/>
  <c r="AH3" i="5"/>
  <c r="AG3" i="5"/>
  <c r="AF3" i="5"/>
  <c r="AE3" i="5"/>
  <c r="AD3" i="5"/>
  <c r="AC3" i="5"/>
  <c r="AB3" i="5"/>
  <c r="E14" i="5"/>
  <c r="E13" i="5"/>
  <c r="E12" i="5"/>
  <c r="E11" i="5"/>
  <c r="E10" i="5"/>
  <c r="E9" i="5"/>
  <c r="E8" i="5"/>
  <c r="E7" i="5"/>
  <c r="E6" i="5"/>
  <c r="E5" i="5"/>
  <c r="L5" i="5"/>
  <c r="R5" i="5"/>
  <c r="AA5" i="5" l="1"/>
  <c r="B5" i="5"/>
  <c r="AH4" i="2"/>
  <c r="AH3" i="2"/>
  <c r="AG4" i="2"/>
  <c r="AG3" i="2"/>
  <c r="AF4" i="2"/>
  <c r="AF3" i="2"/>
  <c r="AE4" i="2"/>
  <c r="AE3" i="2"/>
  <c r="AD4" i="2"/>
  <c r="AD3" i="2"/>
  <c r="AC4" i="2"/>
  <c r="AC3" i="2"/>
  <c r="AB3" i="2"/>
  <c r="AB4" i="2"/>
  <c r="AA4" i="2"/>
  <c r="D4" i="1"/>
  <c r="A5" i="2"/>
  <c r="T5" i="1"/>
  <c r="N5" i="1"/>
  <c r="M5" i="5"/>
  <c r="S5" i="5"/>
  <c r="L5" i="2"/>
  <c r="AC5" i="5" l="1"/>
  <c r="B6" i="5"/>
  <c r="AA6" i="5"/>
  <c r="A6" i="2"/>
  <c r="AA5" i="2"/>
  <c r="I5" i="5"/>
  <c r="N5" i="5"/>
  <c r="J5" i="5"/>
  <c r="T5" i="5"/>
  <c r="R5" i="2"/>
  <c r="U5" i="5" l="1"/>
  <c r="AE5" i="5"/>
  <c r="AB5" i="5"/>
  <c r="W5" i="5"/>
  <c r="AH5" i="5" s="1"/>
  <c r="H5" i="5"/>
  <c r="AD5" i="5" s="1"/>
  <c r="B7" i="5"/>
  <c r="AA7" i="5"/>
  <c r="AC6" i="5"/>
  <c r="AA6" i="2"/>
  <c r="B5" i="2"/>
  <c r="A7" i="2"/>
  <c r="B6" i="2"/>
  <c r="A5" i="1"/>
  <c r="D5" i="1" s="1"/>
  <c r="AC5" i="1"/>
  <c r="I6" i="5"/>
  <c r="R6" i="5"/>
  <c r="O5" i="5"/>
  <c r="J6" i="5"/>
  <c r="M5" i="2"/>
  <c r="I5" i="2"/>
  <c r="S5" i="2"/>
  <c r="E5" i="2"/>
  <c r="AE6" i="5" l="1"/>
  <c r="P5" i="5"/>
  <c r="W6" i="5"/>
  <c r="AH6" i="5" s="1"/>
  <c r="AB6" i="5"/>
  <c r="H6" i="5"/>
  <c r="AD6" i="5" s="1"/>
  <c r="AG5" i="5"/>
  <c r="AC7" i="5"/>
  <c r="B8" i="5"/>
  <c r="AA8" i="5"/>
  <c r="AA7" i="2"/>
  <c r="F5" i="2"/>
  <c r="AC5" i="2" s="1"/>
  <c r="AB5" i="2"/>
  <c r="W5" i="2"/>
  <c r="AH5" i="2" s="1"/>
  <c r="B7" i="2"/>
  <c r="A8" i="2"/>
  <c r="AA8" i="2" s="1"/>
  <c r="A6" i="1"/>
  <c r="B5" i="1"/>
  <c r="L6" i="5"/>
  <c r="I7" i="5"/>
  <c r="J7" i="5"/>
  <c r="S6" i="5"/>
  <c r="T5" i="2"/>
  <c r="N5" i="2"/>
  <c r="E6" i="2"/>
  <c r="AE7" i="5" l="1"/>
  <c r="AB7" i="5"/>
  <c r="W7" i="5"/>
  <c r="H7" i="5"/>
  <c r="AD7" i="5" s="1"/>
  <c r="AC8" i="5"/>
  <c r="AA9" i="5"/>
  <c r="B9" i="5"/>
  <c r="F9" i="5" s="1"/>
  <c r="AF5" i="5"/>
  <c r="H5" i="2"/>
  <c r="F6" i="2"/>
  <c r="I8" i="5"/>
  <c r="M6" i="5"/>
  <c r="T6" i="5"/>
  <c r="J8" i="5"/>
  <c r="J5" i="2"/>
  <c r="AE8" i="5" l="1"/>
  <c r="U6" i="5"/>
  <c r="AB8" i="5"/>
  <c r="H8" i="5"/>
  <c r="AD8" i="5" s="1"/>
  <c r="AH7" i="5"/>
  <c r="AC9" i="5"/>
  <c r="B10" i="5"/>
  <c r="F10" i="5" s="1"/>
  <c r="AA10" i="5"/>
  <c r="H6" i="2"/>
  <c r="F7" i="2"/>
  <c r="U5" i="2"/>
  <c r="AB6" i="2"/>
  <c r="W6" i="2"/>
  <c r="AH6" i="2" s="1"/>
  <c r="AE5" i="2"/>
  <c r="A7" i="1"/>
  <c r="D6" i="1"/>
  <c r="O5" i="1"/>
  <c r="U5" i="1"/>
  <c r="B8" i="2"/>
  <c r="A9" i="2"/>
  <c r="AA9" i="2" s="1"/>
  <c r="AD5" i="1"/>
  <c r="AE5" i="1" s="1"/>
  <c r="AF5" i="1" s="1"/>
  <c r="E5" i="1"/>
  <c r="Y5" i="1" s="1"/>
  <c r="B6" i="1"/>
  <c r="B7" i="1"/>
  <c r="I9" i="5"/>
  <c r="J9" i="5"/>
  <c r="R7" i="5"/>
  <c r="N6" i="5"/>
  <c r="W8" i="5"/>
  <c r="I6" i="2"/>
  <c r="O5" i="2"/>
  <c r="J6" i="2"/>
  <c r="E7" i="2"/>
  <c r="AH8" i="5" l="1"/>
  <c r="AB9" i="5"/>
  <c r="H9" i="5"/>
  <c r="AD9" i="5" s="1"/>
  <c r="AE9" i="5"/>
  <c r="AC10" i="5"/>
  <c r="B11" i="5"/>
  <c r="F11" i="5" s="1"/>
  <c r="AA11" i="5"/>
  <c r="AG6" i="5"/>
  <c r="F8" i="2"/>
  <c r="H7" i="2"/>
  <c r="W9" i="5"/>
  <c r="I10" i="5"/>
  <c r="J10" i="5"/>
  <c r="S7" i="5"/>
  <c r="O6" i="5"/>
  <c r="R6" i="2"/>
  <c r="P6" i="5" l="1"/>
  <c r="AB10" i="5"/>
  <c r="H10" i="5"/>
  <c r="AD10" i="5" s="1"/>
  <c r="AE10" i="5"/>
  <c r="AH9" i="5"/>
  <c r="AC11" i="5"/>
  <c r="AA12" i="5"/>
  <c r="B12" i="5"/>
  <c r="F12" i="5" s="1"/>
  <c r="AE6" i="2"/>
  <c r="AB7" i="2"/>
  <c r="W7" i="2"/>
  <c r="P5" i="2"/>
  <c r="AG5" i="2"/>
  <c r="A8" i="1"/>
  <c r="D7" i="1"/>
  <c r="F5" i="1"/>
  <c r="G5" i="1" s="1"/>
  <c r="H5" i="1" s="1"/>
  <c r="I5" i="1" s="1"/>
  <c r="J5" i="1" s="1"/>
  <c r="P5" i="1"/>
  <c r="Q5" i="1" s="1"/>
  <c r="V5" i="1"/>
  <c r="W5" i="1" s="1"/>
  <c r="B9" i="2"/>
  <c r="F9" i="2" s="1"/>
  <c r="A10" i="2"/>
  <c r="AA10" i="2" s="1"/>
  <c r="E6" i="1"/>
  <c r="Y6" i="1" s="1"/>
  <c r="K5" i="1"/>
  <c r="L5" i="1" s="1"/>
  <c r="AG5" i="1"/>
  <c r="AH5" i="1" s="1"/>
  <c r="AJ5" i="1" s="1"/>
  <c r="AI5" i="1" s="1"/>
  <c r="AC6" i="1" s="1"/>
  <c r="AD6" i="1" s="1"/>
  <c r="L7" i="5"/>
  <c r="I11" i="5"/>
  <c r="W10" i="5"/>
  <c r="J11" i="5"/>
  <c r="T7" i="5"/>
  <c r="I7" i="2"/>
  <c r="E8" i="2"/>
  <c r="U7" i="5" l="1"/>
  <c r="AE11" i="5"/>
  <c r="AB11" i="5"/>
  <c r="H11" i="5"/>
  <c r="AD11" i="5" s="1"/>
  <c r="AH10" i="5"/>
  <c r="AA13" i="5"/>
  <c r="B13" i="5"/>
  <c r="F13" i="5" s="1"/>
  <c r="AC12" i="5"/>
  <c r="AF6" i="5"/>
  <c r="H8" i="2"/>
  <c r="R8" i="5"/>
  <c r="W11" i="5"/>
  <c r="M7" i="5"/>
  <c r="I12" i="5"/>
  <c r="J12" i="5" s="1"/>
  <c r="L6" i="2"/>
  <c r="S6" i="2"/>
  <c r="AB12" i="5" l="1"/>
  <c r="H12" i="5"/>
  <c r="AD12" i="5" s="1"/>
  <c r="AE12" i="5"/>
  <c r="AH11" i="5"/>
  <c r="AC13" i="5"/>
  <c r="B14" i="5"/>
  <c r="AA14" i="5"/>
  <c r="F14" i="5"/>
  <c r="AG7" i="5"/>
  <c r="AD5" i="2"/>
  <c r="AB8" i="2"/>
  <c r="AF5" i="2"/>
  <c r="AH7" i="2"/>
  <c r="A9" i="1"/>
  <c r="D8" i="1"/>
  <c r="B8" i="1"/>
  <c r="R5" i="1"/>
  <c r="T6" i="1"/>
  <c r="U6" i="1"/>
  <c r="V6" i="1" s="1"/>
  <c r="A11" i="2"/>
  <c r="AA11" i="2" s="1"/>
  <c r="B10" i="2"/>
  <c r="F10" i="2" s="1"/>
  <c r="E7" i="1"/>
  <c r="Y7" i="1" s="1"/>
  <c r="Y8" i="1" s="1"/>
  <c r="K6" i="1"/>
  <c r="L6" i="1" s="1"/>
  <c r="F6" i="1"/>
  <c r="G6" i="1" s="1"/>
  <c r="H6" i="1" s="1"/>
  <c r="I6" i="1" s="1"/>
  <c r="AK5" i="1"/>
  <c r="AE6" i="1"/>
  <c r="W12" i="5"/>
  <c r="S8" i="5"/>
  <c r="N7" i="5"/>
  <c r="I13" i="5"/>
  <c r="J13" i="5"/>
  <c r="M6" i="2"/>
  <c r="E9" i="2"/>
  <c r="AE13" i="5" l="1"/>
  <c r="AB13" i="5"/>
  <c r="H13" i="5"/>
  <c r="AD13" i="5" s="1"/>
  <c r="AH12" i="5"/>
  <c r="AC14" i="5"/>
  <c r="H9" i="2"/>
  <c r="T8" i="5"/>
  <c r="I14" i="5"/>
  <c r="O7" i="5"/>
  <c r="J14" i="5"/>
  <c r="W13" i="5"/>
  <c r="W8" i="2"/>
  <c r="T6" i="2"/>
  <c r="J7" i="2"/>
  <c r="AB14" i="5" l="1"/>
  <c r="H14" i="5"/>
  <c r="AD14" i="5" s="1"/>
  <c r="AH13" i="5"/>
  <c r="AE14" i="5"/>
  <c r="P7" i="5"/>
  <c r="U8" i="5"/>
  <c r="AE7" i="2"/>
  <c r="AC6" i="2"/>
  <c r="U6" i="2"/>
  <c r="AH8" i="2"/>
  <c r="AB9" i="2"/>
  <c r="W6" i="1"/>
  <c r="A10" i="1"/>
  <c r="D9" i="1"/>
  <c r="B9" i="1"/>
  <c r="Y9" i="1" s="1"/>
  <c r="F7" i="1"/>
  <c r="G7" i="1" s="1"/>
  <c r="H7" i="1" s="1"/>
  <c r="I7" i="1" s="1"/>
  <c r="J7" i="1" s="1"/>
  <c r="J6" i="1"/>
  <c r="T7" i="1"/>
  <c r="U7" i="1" s="1"/>
  <c r="N6" i="1"/>
  <c r="O6" i="1" s="1"/>
  <c r="P6" i="1" s="1"/>
  <c r="Q6" i="1" s="1"/>
  <c r="B11" i="2"/>
  <c r="F11" i="2" s="1"/>
  <c r="A12" i="2"/>
  <c r="AA12" i="2" s="1"/>
  <c r="E8" i="1"/>
  <c r="K7" i="1"/>
  <c r="L7" i="1" s="1"/>
  <c r="AF6" i="1"/>
  <c r="AG6" i="1" s="1"/>
  <c r="L8" i="5"/>
  <c r="R9" i="5"/>
  <c r="W14" i="5"/>
  <c r="E10" i="2"/>
  <c r="AH14" i="5" l="1"/>
  <c r="AG8" i="5"/>
  <c r="AF7" i="5"/>
  <c r="H10" i="2"/>
  <c r="M8" i="5"/>
  <c r="S9" i="5"/>
  <c r="N6" i="2"/>
  <c r="W9" i="2"/>
  <c r="R7" i="2"/>
  <c r="I8" i="2"/>
  <c r="AB10" i="2" l="1"/>
  <c r="AH9" i="2"/>
  <c r="AG6" i="2"/>
  <c r="Y10" i="1"/>
  <c r="A11" i="1"/>
  <c r="D10" i="1"/>
  <c r="B10" i="1"/>
  <c r="V7" i="1"/>
  <c r="W7" i="1" s="1"/>
  <c r="R6" i="1"/>
  <c r="B12" i="2"/>
  <c r="F12" i="2" s="1"/>
  <c r="A13" i="2"/>
  <c r="AA13" i="2" s="1"/>
  <c r="E9" i="1"/>
  <c r="K8" i="1"/>
  <c r="L8" i="1" s="1"/>
  <c r="F8" i="1"/>
  <c r="G8" i="1" s="1"/>
  <c r="H8" i="1" s="1"/>
  <c r="I8" i="1" s="1"/>
  <c r="J8" i="1" s="1"/>
  <c r="AH6" i="1"/>
  <c r="AK6" i="1" s="1"/>
  <c r="T9" i="5"/>
  <c r="N8" i="5"/>
  <c r="J8" i="2"/>
  <c r="S7" i="2"/>
  <c r="W10" i="2"/>
  <c r="E11" i="2"/>
  <c r="U9" i="5" l="1"/>
  <c r="H11" i="2"/>
  <c r="AE8" i="2"/>
  <c r="O8" i="5"/>
  <c r="R10" i="5"/>
  <c r="I9" i="2"/>
  <c r="O6" i="2"/>
  <c r="P8" i="5" l="1"/>
  <c r="AG9" i="5"/>
  <c r="AH10" i="2"/>
  <c r="P6" i="2"/>
  <c r="AB11" i="2"/>
  <c r="Y11" i="1"/>
  <c r="A12" i="1"/>
  <c r="D11" i="1"/>
  <c r="B11" i="1"/>
  <c r="T8" i="1"/>
  <c r="U8" i="1"/>
  <c r="V8" i="1" s="1"/>
  <c r="N7" i="1"/>
  <c r="O7" i="1"/>
  <c r="P7" i="1" s="1"/>
  <c r="Q7" i="1" s="1"/>
  <c r="R7" i="1" s="1"/>
  <c r="A14" i="2"/>
  <c r="AA14" i="2" s="1"/>
  <c r="B13" i="2"/>
  <c r="F13" i="2" s="1"/>
  <c r="F9" i="1"/>
  <c r="G9" i="1" s="1"/>
  <c r="H9" i="1" s="1"/>
  <c r="I9" i="1" s="1"/>
  <c r="J9" i="1" s="1"/>
  <c r="K9" i="1"/>
  <c r="L9" i="1" s="1"/>
  <c r="E10" i="1"/>
  <c r="AJ6" i="1"/>
  <c r="AI6" i="1" s="1"/>
  <c r="L9" i="5"/>
  <c r="S10" i="5"/>
  <c r="J9" i="2"/>
  <c r="W11" i="2"/>
  <c r="L7" i="2"/>
  <c r="T7" i="2"/>
  <c r="E12" i="2"/>
  <c r="AF8" i="5" l="1"/>
  <c r="H12" i="2"/>
  <c r="AE9" i="2"/>
  <c r="AD6" i="2"/>
  <c r="AH11" i="2"/>
  <c r="U7" i="2"/>
  <c r="AB12" i="2"/>
  <c r="AF6" i="2"/>
  <c r="A13" i="1"/>
  <c r="D12" i="1"/>
  <c r="B12" i="1"/>
  <c r="Y12" i="1" s="1"/>
  <c r="N8" i="1"/>
  <c r="W8" i="1"/>
  <c r="B14" i="2"/>
  <c r="F14" i="2" s="1"/>
  <c r="A15" i="2"/>
  <c r="AA15" i="2" s="1"/>
  <c r="E11" i="1"/>
  <c r="K10" i="1"/>
  <c r="L10" i="1" s="1"/>
  <c r="F10" i="1"/>
  <c r="G10" i="1" s="1"/>
  <c r="H10" i="1" s="1"/>
  <c r="I10" i="1" s="1"/>
  <c r="AC7" i="1"/>
  <c r="AD7" i="1"/>
  <c r="T10" i="5"/>
  <c r="M9" i="5"/>
  <c r="R8" i="2"/>
  <c r="I10" i="2"/>
  <c r="E13" i="2"/>
  <c r="U10" i="5" l="1"/>
  <c r="H13" i="2"/>
  <c r="R11" i="5"/>
  <c r="N9" i="5"/>
  <c r="W12" i="2"/>
  <c r="M7" i="2"/>
  <c r="AG10" i="5" l="1"/>
  <c r="AB13" i="2"/>
  <c r="AC7" i="2"/>
  <c r="AH12" i="2"/>
  <c r="AG7" i="2"/>
  <c r="A14" i="1"/>
  <c r="D13" i="1"/>
  <c r="B13" i="1"/>
  <c r="Y13" i="1" s="1"/>
  <c r="T9" i="1"/>
  <c r="U9" i="1"/>
  <c r="V9" i="1" s="1"/>
  <c r="F11" i="1"/>
  <c r="G11" i="1" s="1"/>
  <c r="H11" i="1" s="1"/>
  <c r="I11" i="1" s="1"/>
  <c r="J11" i="1" s="1"/>
  <c r="J10" i="1"/>
  <c r="O8" i="1"/>
  <c r="P8" i="1" s="1"/>
  <c r="Q8" i="1" s="1"/>
  <c r="B15" i="2"/>
  <c r="F15" i="2" s="1"/>
  <c r="A16" i="2"/>
  <c r="AA16" i="2" s="1"/>
  <c r="K11" i="1"/>
  <c r="L11" i="1" s="1"/>
  <c r="E12" i="1"/>
  <c r="AE7" i="1"/>
  <c r="O9" i="5"/>
  <c r="S11" i="5"/>
  <c r="S8" i="2"/>
  <c r="E14" i="2"/>
  <c r="P9" i="5" l="1"/>
  <c r="H14" i="2"/>
  <c r="L10" i="5"/>
  <c r="T11" i="5"/>
  <c r="N7" i="2"/>
  <c r="W13" i="2"/>
  <c r="J10" i="2"/>
  <c r="U11" i="5" l="1"/>
  <c r="AF9" i="5"/>
  <c r="AE10" i="2"/>
  <c r="AD7" i="2"/>
  <c r="AH13" i="2"/>
  <c r="AB14" i="2"/>
  <c r="A15" i="1"/>
  <c r="D14" i="1"/>
  <c r="B14" i="1"/>
  <c r="Y14" i="1" s="1"/>
  <c r="R8" i="1"/>
  <c r="W9" i="1"/>
  <c r="T10" i="1" s="1"/>
  <c r="U10" i="1" s="1"/>
  <c r="B16" i="2"/>
  <c r="F16" i="2" s="1"/>
  <c r="A17" i="2"/>
  <c r="AA17" i="2" s="1"/>
  <c r="K12" i="1"/>
  <c r="L12" i="1" s="1"/>
  <c r="E13" i="1"/>
  <c r="F12" i="1"/>
  <c r="G12" i="1" s="1"/>
  <c r="H12" i="1" s="1"/>
  <c r="I12" i="1" s="1"/>
  <c r="J12" i="1" s="1"/>
  <c r="AF7" i="1"/>
  <c r="AG7" i="1" s="1"/>
  <c r="AH7" i="1" s="1"/>
  <c r="AJ7" i="1" s="1"/>
  <c r="AI7" i="1" s="1"/>
  <c r="R12" i="5"/>
  <c r="M10" i="5"/>
  <c r="T8" i="2"/>
  <c r="E15" i="2"/>
  <c r="AG11" i="5" l="1"/>
  <c r="H15" i="2"/>
  <c r="N10" i="5"/>
  <c r="S12" i="5"/>
  <c r="O7" i="2"/>
  <c r="W14" i="2"/>
  <c r="I11" i="2"/>
  <c r="AC8" i="2" l="1"/>
  <c r="AH14" i="2"/>
  <c r="AB15" i="2"/>
  <c r="P7" i="2"/>
  <c r="U8" i="2"/>
  <c r="V10" i="1"/>
  <c r="W10" i="1" s="1"/>
  <c r="T11" i="1" s="1"/>
  <c r="A16" i="1"/>
  <c r="D15" i="1"/>
  <c r="B15" i="1"/>
  <c r="Y15" i="1" s="1"/>
  <c r="N9" i="1"/>
  <c r="O9" i="1"/>
  <c r="P9" i="1" s="1"/>
  <c r="Q9" i="1" s="1"/>
  <c r="R9" i="1" s="1"/>
  <c r="A18" i="2"/>
  <c r="AA18" i="2" s="1"/>
  <c r="B17" i="2"/>
  <c r="F17" i="2" s="1"/>
  <c r="K13" i="1"/>
  <c r="L13" i="1" s="1"/>
  <c r="E14" i="1"/>
  <c r="F13" i="1"/>
  <c r="G13" i="1" s="1"/>
  <c r="H13" i="1" s="1"/>
  <c r="I13" i="1" s="1"/>
  <c r="J13" i="1" s="1"/>
  <c r="AK7" i="1"/>
  <c r="AC8" i="1"/>
  <c r="AD8" i="1" s="1"/>
  <c r="AE8" i="1" s="1"/>
  <c r="AF8" i="1" s="1"/>
  <c r="AG8" i="1" s="1"/>
  <c r="T12" i="5"/>
  <c r="O10" i="5"/>
  <c r="J11" i="2"/>
  <c r="L8" i="2"/>
  <c r="R9" i="2"/>
  <c r="W15" i="2"/>
  <c r="E16" i="2"/>
  <c r="P10" i="5" l="1"/>
  <c r="U12" i="5"/>
  <c r="H16" i="2"/>
  <c r="AE11" i="2"/>
  <c r="F18" i="2"/>
  <c r="AH15" i="2"/>
  <c r="AB16" i="2"/>
  <c r="AG8" i="2"/>
  <c r="AF7" i="2"/>
  <c r="U11" i="1"/>
  <c r="A17" i="1"/>
  <c r="D16" i="1"/>
  <c r="B16" i="1"/>
  <c r="Y16" i="1" s="1"/>
  <c r="N10" i="1"/>
  <c r="O10" i="1" s="1"/>
  <c r="V11" i="1"/>
  <c r="W11" i="1" s="1"/>
  <c r="B18" i="2"/>
  <c r="A19" i="2"/>
  <c r="AA19" i="2" s="1"/>
  <c r="F14" i="1"/>
  <c r="G14" i="1" s="1"/>
  <c r="H14" i="1" s="1"/>
  <c r="I14" i="1" s="1"/>
  <c r="J14" i="1" s="1"/>
  <c r="K14" i="1"/>
  <c r="L14" i="1" s="1"/>
  <c r="E15" i="1"/>
  <c r="AH8" i="1"/>
  <c r="AK8" i="1" s="1"/>
  <c r="R13" i="5"/>
  <c r="L11" i="5"/>
  <c r="W16" i="2"/>
  <c r="I12" i="2"/>
  <c r="J12" i="2" s="1"/>
  <c r="E17" i="2"/>
  <c r="AF10" i="5" l="1"/>
  <c r="AG12" i="5"/>
  <c r="H17" i="2"/>
  <c r="AE12" i="2"/>
  <c r="M11" i="5"/>
  <c r="S13" i="5"/>
  <c r="S9" i="2"/>
  <c r="I13" i="2"/>
  <c r="J13" i="2" s="1"/>
  <c r="M8" i="2"/>
  <c r="AE13" i="2" l="1"/>
  <c r="AD8" i="2"/>
  <c r="AB17" i="2"/>
  <c r="AH16" i="2"/>
  <c r="A18" i="1"/>
  <c r="D17" i="1"/>
  <c r="B17" i="1"/>
  <c r="Y17" i="1" s="1"/>
  <c r="P10" i="1"/>
  <c r="Q10" i="1" s="1"/>
  <c r="R10" i="1" s="1"/>
  <c r="B19" i="2"/>
  <c r="F19" i="2" s="1"/>
  <c r="A20" i="2"/>
  <c r="AA20" i="2" s="1"/>
  <c r="T12" i="1"/>
  <c r="U12" i="1" s="1"/>
  <c r="K15" i="1"/>
  <c r="L15" i="1" s="1"/>
  <c r="E16" i="1"/>
  <c r="F15" i="1"/>
  <c r="G15" i="1" s="1"/>
  <c r="H15" i="1" s="1"/>
  <c r="I15" i="1" s="1"/>
  <c r="J15" i="1" s="1"/>
  <c r="AJ8" i="1"/>
  <c r="AI8" i="1" s="1"/>
  <c r="N11" i="5"/>
  <c r="T13" i="5"/>
  <c r="W17" i="2"/>
  <c r="E18" i="2"/>
  <c r="U13" i="5" l="1"/>
  <c r="H18" i="2"/>
  <c r="R14" i="5"/>
  <c r="O11" i="5"/>
  <c r="I14" i="2"/>
  <c r="N8" i="2"/>
  <c r="T9" i="2"/>
  <c r="P11" i="5" l="1"/>
  <c r="AG13" i="5"/>
  <c r="AC9" i="2"/>
  <c r="U9" i="2"/>
  <c r="AH17" i="2"/>
  <c r="AB18" i="2"/>
  <c r="A19" i="1"/>
  <c r="D18" i="1"/>
  <c r="B18" i="1"/>
  <c r="Y18" i="1" s="1"/>
  <c r="N11" i="1"/>
  <c r="O11" i="1" s="1"/>
  <c r="P11" i="1" s="1"/>
  <c r="Q11" i="1" s="1"/>
  <c r="B20" i="2"/>
  <c r="F20" i="2" s="1"/>
  <c r="A21" i="2"/>
  <c r="AA21" i="2" s="1"/>
  <c r="V12" i="1"/>
  <c r="W12" i="1" s="1"/>
  <c r="F16" i="1"/>
  <c r="G16" i="1" s="1"/>
  <c r="H16" i="1" s="1"/>
  <c r="I16" i="1" s="1"/>
  <c r="J16" i="1" s="1"/>
  <c r="K16" i="1"/>
  <c r="L16" i="1" s="1"/>
  <c r="E17" i="1"/>
  <c r="AC9" i="1"/>
  <c r="AD9" i="1" s="1"/>
  <c r="L12" i="5"/>
  <c r="S14" i="5"/>
  <c r="J14" i="2"/>
  <c r="W18" i="2"/>
  <c r="R10" i="2"/>
  <c r="O8" i="2"/>
  <c r="E19" i="2"/>
  <c r="AF11" i="5" l="1"/>
  <c r="H19" i="2"/>
  <c r="AE14" i="2"/>
  <c r="AH18" i="2"/>
  <c r="AB19" i="2"/>
  <c r="P8" i="2"/>
  <c r="AG9" i="2"/>
  <c r="A20" i="1"/>
  <c r="D19" i="1"/>
  <c r="B19" i="1"/>
  <c r="Y19" i="1" s="1"/>
  <c r="R11" i="1"/>
  <c r="N12" i="1" s="1"/>
  <c r="O12" i="1" s="1"/>
  <c r="B21" i="2"/>
  <c r="F21" i="2" s="1"/>
  <c r="A22" i="2"/>
  <c r="AA22" i="2" s="1"/>
  <c r="T13" i="1"/>
  <c r="F17" i="1"/>
  <c r="G17" i="1" s="1"/>
  <c r="H17" i="1" s="1"/>
  <c r="I17" i="1" s="1"/>
  <c r="J17" i="1" s="1"/>
  <c r="K17" i="1"/>
  <c r="L17" i="1" s="1"/>
  <c r="E18" i="1"/>
  <c r="AE9" i="1"/>
  <c r="AF9" i="1" s="1"/>
  <c r="M12" i="5"/>
  <c r="T14" i="5"/>
  <c r="L9" i="2"/>
  <c r="W19" i="2"/>
  <c r="I15" i="2"/>
  <c r="S10" i="2"/>
  <c r="E20" i="2"/>
  <c r="U14" i="5" l="1"/>
  <c r="H20" i="2"/>
  <c r="AD9" i="2"/>
  <c r="AB20" i="2"/>
  <c r="AH19" i="2"/>
  <c r="AF8" i="2"/>
  <c r="A21" i="1"/>
  <c r="D20" i="1"/>
  <c r="B20" i="1"/>
  <c r="Y20" i="1" s="1"/>
  <c r="P12" i="1"/>
  <c r="Q12" i="1" s="1"/>
  <c r="R12" i="1" s="1"/>
  <c r="B22" i="2"/>
  <c r="F22" i="2" s="1"/>
  <c r="A23" i="2"/>
  <c r="AA23" i="2" s="1"/>
  <c r="U13" i="1"/>
  <c r="V13" i="1" s="1"/>
  <c r="F18" i="1"/>
  <c r="G18" i="1"/>
  <c r="H18" i="1" s="1"/>
  <c r="I18" i="1" s="1"/>
  <c r="J18" i="1" s="1"/>
  <c r="K18" i="1"/>
  <c r="L18" i="1" s="1"/>
  <c r="E19" i="1"/>
  <c r="AG9" i="1"/>
  <c r="AH9" i="1" s="1"/>
  <c r="AK9" i="1" s="1"/>
  <c r="N12" i="5"/>
  <c r="J15" i="2"/>
  <c r="M9" i="2"/>
  <c r="E21" i="2"/>
  <c r="AG14" i="5" l="1"/>
  <c r="H21" i="2"/>
  <c r="AE15" i="2"/>
  <c r="O12" i="5"/>
  <c r="W20" i="2"/>
  <c r="T10" i="2"/>
  <c r="I16" i="2"/>
  <c r="P12" i="5" l="1"/>
  <c r="AC10" i="2"/>
  <c r="AB21" i="2"/>
  <c r="U10" i="2"/>
  <c r="AH20" i="2"/>
  <c r="A22" i="1"/>
  <c r="D21" i="1"/>
  <c r="B21" i="1"/>
  <c r="Y21" i="1" s="1"/>
  <c r="N13" i="1"/>
  <c r="O13" i="1" s="1"/>
  <c r="P13" i="1" s="1"/>
  <c r="Q13" i="1" s="1"/>
  <c r="R13" i="1" s="1"/>
  <c r="B23" i="2"/>
  <c r="F23" i="2" s="1"/>
  <c r="A24" i="2"/>
  <c r="AA24" i="2" s="1"/>
  <c r="W13" i="1"/>
  <c r="F19" i="1"/>
  <c r="G19" i="1" s="1"/>
  <c r="H19" i="1" s="1"/>
  <c r="I19" i="1" s="1"/>
  <c r="J19" i="1" s="1"/>
  <c r="K19" i="1"/>
  <c r="L19" i="1" s="1"/>
  <c r="E20" i="1"/>
  <c r="AJ9" i="1"/>
  <c r="AI9" i="1" s="1"/>
  <c r="AC10" i="1" s="1"/>
  <c r="AD10" i="1" s="1"/>
  <c r="L13" i="5"/>
  <c r="N9" i="2"/>
  <c r="J16" i="2"/>
  <c r="W21" i="2"/>
  <c r="R11" i="2"/>
  <c r="E22" i="2"/>
  <c r="AF12" i="5" l="1"/>
  <c r="H22" i="2"/>
  <c r="AE16" i="2"/>
  <c r="AD10" i="2"/>
  <c r="AB22" i="2"/>
  <c r="AH21" i="2"/>
  <c r="AG10" i="2"/>
  <c r="A23" i="1"/>
  <c r="D22" i="1"/>
  <c r="B22" i="1"/>
  <c r="Y22" i="1" s="1"/>
  <c r="N14" i="1"/>
  <c r="O14" i="1"/>
  <c r="P14" i="1" s="1"/>
  <c r="Q14" i="1" s="1"/>
  <c r="B24" i="2"/>
  <c r="F24" i="2" s="1"/>
  <c r="A25" i="2"/>
  <c r="AA25" i="2" s="1"/>
  <c r="T14" i="1"/>
  <c r="U14" i="1" s="1"/>
  <c r="F20" i="1"/>
  <c r="G20" i="1" s="1"/>
  <c r="H20" i="1" s="1"/>
  <c r="I20" i="1" s="1"/>
  <c r="J20" i="1" s="1"/>
  <c r="K20" i="1"/>
  <c r="L20" i="1" s="1"/>
  <c r="E21" i="1"/>
  <c r="AE10" i="1"/>
  <c r="AF10" i="1" s="1"/>
  <c r="AG10" i="1" s="1"/>
  <c r="M13" i="5"/>
  <c r="W22" i="2"/>
  <c r="O9" i="2"/>
  <c r="S11" i="2"/>
  <c r="I17" i="2"/>
  <c r="E23" i="2"/>
  <c r="H23" i="2" l="1"/>
  <c r="AC11" i="2"/>
  <c r="AH22" i="2"/>
  <c r="AB23" i="2"/>
  <c r="P9" i="2"/>
  <c r="R14" i="1"/>
  <c r="A24" i="1"/>
  <c r="D23" i="1"/>
  <c r="B23" i="1"/>
  <c r="Y23" i="1" s="1"/>
  <c r="N15" i="1"/>
  <c r="B25" i="2"/>
  <c r="F25" i="2" s="1"/>
  <c r="A26" i="2"/>
  <c r="AA26" i="2" s="1"/>
  <c r="V14" i="1"/>
  <c r="W14" i="1" s="1"/>
  <c r="K21" i="1"/>
  <c r="L21" i="1" s="1"/>
  <c r="E22" i="1"/>
  <c r="F21" i="1"/>
  <c r="G21" i="1" s="1"/>
  <c r="H21" i="1" s="1"/>
  <c r="I21" i="1" s="1"/>
  <c r="J21" i="1" s="1"/>
  <c r="AH10" i="1"/>
  <c r="AJ10" i="1" s="1"/>
  <c r="AI10" i="1" s="1"/>
  <c r="N13" i="5"/>
  <c r="T11" i="2"/>
  <c r="L10" i="2"/>
  <c r="E24" i="2"/>
  <c r="H24" i="2" l="1"/>
  <c r="O13" i="5"/>
  <c r="J17" i="2"/>
  <c r="W23" i="2"/>
  <c r="P13" i="5" l="1"/>
  <c r="AE17" i="2"/>
  <c r="AD11" i="2"/>
  <c r="AB24" i="2"/>
  <c r="U11" i="2"/>
  <c r="AH23" i="2"/>
  <c r="AF9" i="2"/>
  <c r="A25" i="1"/>
  <c r="D24" i="1"/>
  <c r="B24" i="1"/>
  <c r="Y24" i="1" s="1"/>
  <c r="O15" i="1"/>
  <c r="P15" i="1" s="1"/>
  <c r="Q15" i="1" s="1"/>
  <c r="B26" i="2"/>
  <c r="F26" i="2" s="1"/>
  <c r="A27" i="2"/>
  <c r="AA27" i="2" s="1"/>
  <c r="T15" i="1"/>
  <c r="F22" i="1"/>
  <c r="G22" i="1" s="1"/>
  <c r="H22" i="1" s="1"/>
  <c r="I22" i="1" s="1"/>
  <c r="J22" i="1" s="1"/>
  <c r="K22" i="1"/>
  <c r="L22" i="1" s="1"/>
  <c r="E23" i="1"/>
  <c r="AK10" i="1"/>
  <c r="AC11" i="1"/>
  <c r="AD11" i="1" s="1"/>
  <c r="L14" i="5"/>
  <c r="M10" i="2"/>
  <c r="I18" i="2"/>
  <c r="E25" i="2"/>
  <c r="AF13" i="5" l="1"/>
  <c r="H25" i="2"/>
  <c r="M14" i="5"/>
  <c r="W24" i="2"/>
  <c r="R12" i="2"/>
  <c r="AC12" i="2" l="1"/>
  <c r="AH24" i="2"/>
  <c r="AB25" i="2"/>
  <c r="AG11" i="2"/>
  <c r="A26" i="1"/>
  <c r="D25" i="1"/>
  <c r="B25" i="1"/>
  <c r="Y25" i="1" s="1"/>
  <c r="R15" i="1"/>
  <c r="B27" i="2"/>
  <c r="F27" i="2" s="1"/>
  <c r="A28" i="2"/>
  <c r="AA28" i="2" s="1"/>
  <c r="U15" i="1"/>
  <c r="V15" i="1" s="1"/>
  <c r="F23" i="1"/>
  <c r="G23" i="1" s="1"/>
  <c r="H23" i="1" s="1"/>
  <c r="I23" i="1" s="1"/>
  <c r="J23" i="1" s="1"/>
  <c r="K23" i="1"/>
  <c r="L23" i="1" s="1"/>
  <c r="E24" i="1"/>
  <c r="AE11" i="1"/>
  <c r="N14" i="5"/>
  <c r="E26" i="2"/>
  <c r="H26" i="2" l="1"/>
  <c r="O14" i="5"/>
  <c r="J18" i="2"/>
  <c r="W25" i="2"/>
  <c r="N10" i="2"/>
  <c r="S12" i="2"/>
  <c r="P14" i="5" l="1"/>
  <c r="AE18" i="2"/>
  <c r="AB26" i="2"/>
  <c r="AH25" i="2"/>
  <c r="A27" i="1"/>
  <c r="D26" i="1"/>
  <c r="B26" i="1"/>
  <c r="Y26" i="1" s="1"/>
  <c r="N16" i="1"/>
  <c r="O16" i="1" s="1"/>
  <c r="P16" i="1" s="1"/>
  <c r="Q16" i="1" s="1"/>
  <c r="A29" i="2"/>
  <c r="AA29" i="2" s="1"/>
  <c r="B28" i="2"/>
  <c r="F28" i="2" s="1"/>
  <c r="W15" i="1"/>
  <c r="F24" i="1"/>
  <c r="G24" i="1" s="1"/>
  <c r="H24" i="1" s="1"/>
  <c r="I24" i="1" s="1"/>
  <c r="J24" i="1" s="1"/>
  <c r="K24" i="1"/>
  <c r="L24" i="1" s="1"/>
  <c r="E25" i="1"/>
  <c r="AF11" i="1"/>
  <c r="AG11" i="1" s="1"/>
  <c r="O10" i="2"/>
  <c r="I19" i="2"/>
  <c r="E27" i="2"/>
  <c r="AF14" i="5" l="1"/>
  <c r="H27" i="2"/>
  <c r="T12" i="2"/>
  <c r="W26" i="2"/>
  <c r="AD12" i="2" l="1"/>
  <c r="U12" i="2"/>
  <c r="AH26" i="2"/>
  <c r="AB27" i="2"/>
  <c r="P10" i="2"/>
  <c r="R16" i="1"/>
  <c r="A28" i="1"/>
  <c r="D27" i="1"/>
  <c r="B27" i="1"/>
  <c r="Y27" i="1" s="1"/>
  <c r="N17" i="1"/>
  <c r="O17" i="1"/>
  <c r="P17" i="1"/>
  <c r="Q17" i="1" s="1"/>
  <c r="B29" i="2"/>
  <c r="F29" i="2" s="1"/>
  <c r="A30" i="2"/>
  <c r="AA30" i="2" s="1"/>
  <c r="T16" i="1"/>
  <c r="U16" i="1" s="1"/>
  <c r="E26" i="1"/>
  <c r="K25" i="1"/>
  <c r="L25" i="1" s="1"/>
  <c r="F25" i="1"/>
  <c r="G25" i="1" s="1"/>
  <c r="H25" i="1" s="1"/>
  <c r="I25" i="1" s="1"/>
  <c r="J25" i="1" s="1"/>
  <c r="AH11" i="1"/>
  <c r="AK11" i="1" s="1"/>
  <c r="L11" i="2"/>
  <c r="W27" i="2"/>
  <c r="J19" i="2"/>
  <c r="R13" i="2"/>
  <c r="E28" i="2"/>
  <c r="H28" i="2" l="1"/>
  <c r="F30" i="2"/>
  <c r="AD13" i="2"/>
  <c r="AC13" i="2"/>
  <c r="AE19" i="2"/>
  <c r="AH27" i="2"/>
  <c r="AB28" i="2"/>
  <c r="AF10" i="2"/>
  <c r="AG12" i="2"/>
  <c r="A29" i="1"/>
  <c r="D28" i="1"/>
  <c r="B28" i="1"/>
  <c r="Y28" i="1" s="1"/>
  <c r="R17" i="1"/>
  <c r="B30" i="2"/>
  <c r="A31" i="2"/>
  <c r="AA31" i="2" s="1"/>
  <c r="V16" i="1"/>
  <c r="W16" i="1" s="1"/>
  <c r="K26" i="1"/>
  <c r="L26" i="1" s="1"/>
  <c r="E27" i="1"/>
  <c r="F26" i="1"/>
  <c r="G26" i="1" s="1"/>
  <c r="H26" i="1" s="1"/>
  <c r="I26" i="1" s="1"/>
  <c r="J26" i="1" s="1"/>
  <c r="AJ11" i="1"/>
  <c r="AI11" i="1" s="1"/>
  <c r="AC12" i="1" s="1"/>
  <c r="AD12" i="1" s="1"/>
  <c r="AE12" i="1" s="1"/>
  <c r="M11" i="2"/>
  <c r="I20" i="2"/>
  <c r="W28" i="2"/>
  <c r="E29" i="2"/>
  <c r="H29" i="2" l="1"/>
  <c r="S13" i="2"/>
  <c r="AC14" i="2" l="1"/>
  <c r="AH28" i="2"/>
  <c r="AB29" i="2"/>
  <c r="A30" i="1"/>
  <c r="D29" i="1"/>
  <c r="B29" i="1"/>
  <c r="Y29" i="1" s="1"/>
  <c r="N18" i="1"/>
  <c r="O18" i="1"/>
  <c r="P18" i="1" s="1"/>
  <c r="Q18" i="1" s="1"/>
  <c r="R18" i="1" s="1"/>
  <c r="B31" i="2"/>
  <c r="F31" i="2" s="1"/>
  <c r="A32" i="2"/>
  <c r="AA32" i="2" s="1"/>
  <c r="T17" i="1"/>
  <c r="U17" i="1"/>
  <c r="V17" i="1" s="1"/>
  <c r="F27" i="1"/>
  <c r="G27" i="1" s="1"/>
  <c r="H27" i="1" s="1"/>
  <c r="I27" i="1" s="1"/>
  <c r="J27" i="1" s="1"/>
  <c r="K27" i="1"/>
  <c r="L27" i="1" s="1"/>
  <c r="E28" i="1"/>
  <c r="AF12" i="1"/>
  <c r="AG12" i="1" s="1"/>
  <c r="E30" i="2"/>
  <c r="H30" i="2" l="1"/>
  <c r="J20" i="2"/>
  <c r="T13" i="2"/>
  <c r="N11" i="2"/>
  <c r="W29" i="2"/>
  <c r="AE20" i="2" l="1"/>
  <c r="U13" i="2"/>
  <c r="AB30" i="2"/>
  <c r="AH29" i="2"/>
  <c r="A31" i="1"/>
  <c r="D30" i="1"/>
  <c r="B30" i="1"/>
  <c r="Y30" i="1" s="1"/>
  <c r="N19" i="1"/>
  <c r="O19" i="1" s="1"/>
  <c r="P19" i="1" s="1"/>
  <c r="Q19" i="1" s="1"/>
  <c r="R19" i="1" s="1"/>
  <c r="A33" i="2"/>
  <c r="AA33" i="2" s="1"/>
  <c r="B32" i="2"/>
  <c r="F32" i="2" s="1"/>
  <c r="W17" i="1"/>
  <c r="F28" i="1"/>
  <c r="G28" i="1" s="1"/>
  <c r="H28" i="1" s="1"/>
  <c r="I28" i="1" s="1"/>
  <c r="J28" i="1" s="1"/>
  <c r="K28" i="1"/>
  <c r="L28" i="1" s="1"/>
  <c r="E29" i="1"/>
  <c r="AH12" i="1"/>
  <c r="AK12" i="1" s="1"/>
  <c r="E31" i="2"/>
  <c r="H31" i="2" l="1"/>
  <c r="O11" i="2"/>
  <c r="W30" i="2"/>
  <c r="I21" i="2"/>
  <c r="R14" i="2"/>
  <c r="J21" i="2"/>
  <c r="AD14" i="2" l="1"/>
  <c r="AE21" i="2"/>
  <c r="P11" i="2"/>
  <c r="AH30" i="2"/>
  <c r="AB31" i="2"/>
  <c r="AG13" i="2"/>
  <c r="A32" i="1"/>
  <c r="D31" i="1"/>
  <c r="B31" i="1"/>
  <c r="Y31" i="1" s="1"/>
  <c r="N20" i="1"/>
  <c r="O20" i="1"/>
  <c r="P20" i="1"/>
  <c r="Q20" i="1" s="1"/>
  <c r="B33" i="2"/>
  <c r="F33" i="2" s="1"/>
  <c r="A34" i="2"/>
  <c r="AA34" i="2" s="1"/>
  <c r="T18" i="1"/>
  <c r="U18" i="1"/>
  <c r="F29" i="1"/>
  <c r="G29" i="1" s="1"/>
  <c r="H29" i="1" s="1"/>
  <c r="I29" i="1" s="1"/>
  <c r="J29" i="1" s="1"/>
  <c r="K29" i="1"/>
  <c r="L29" i="1" s="1"/>
  <c r="E30" i="1"/>
  <c r="AJ12" i="1"/>
  <c r="AI12" i="1" s="1"/>
  <c r="AC13" i="1" s="1"/>
  <c r="AD13" i="1" s="1"/>
  <c r="E32" i="2"/>
  <c r="H32" i="2" l="1"/>
  <c r="I22" i="2"/>
  <c r="W31" i="2"/>
  <c r="S14" i="2"/>
  <c r="L12" i="2"/>
  <c r="AC15" i="2" l="1"/>
  <c r="AB32" i="2"/>
  <c r="AH31" i="2"/>
  <c r="AF11" i="2"/>
  <c r="A33" i="1"/>
  <c r="D32" i="1"/>
  <c r="B32" i="1"/>
  <c r="Y32" i="1" s="1"/>
  <c r="R20" i="1"/>
  <c r="V18" i="1"/>
  <c r="W18" i="1" s="1"/>
  <c r="B34" i="2"/>
  <c r="F34" i="2" s="1"/>
  <c r="A35" i="2"/>
  <c r="K30" i="1"/>
  <c r="L30" i="1" s="1"/>
  <c r="E31" i="1"/>
  <c r="F30" i="1"/>
  <c r="G30" i="1"/>
  <c r="H30" i="1" s="1"/>
  <c r="I30" i="1" s="1"/>
  <c r="J30" i="1" s="1"/>
  <c r="AE13" i="1"/>
  <c r="W32" i="2"/>
  <c r="J22" i="2"/>
  <c r="E33" i="2"/>
  <c r="H33" i="2" l="1"/>
  <c r="A36" i="2"/>
  <c r="AA35" i="2"/>
  <c r="M12" i="2"/>
  <c r="T14" i="2"/>
  <c r="A37" i="2" l="1"/>
  <c r="B36" i="2"/>
  <c r="AA36" i="2"/>
  <c r="AE22" i="2"/>
  <c r="AD15" i="2"/>
  <c r="U14" i="2"/>
  <c r="AB33" i="2"/>
  <c r="AH32" i="2"/>
  <c r="N21" i="1"/>
  <c r="O21" i="1" s="1"/>
  <c r="A34" i="1"/>
  <c r="D33" i="1"/>
  <c r="B33" i="1"/>
  <c r="Y33" i="1" s="1"/>
  <c r="B35" i="2"/>
  <c r="F35" i="2" s="1"/>
  <c r="T19" i="1"/>
  <c r="U19" i="1" s="1"/>
  <c r="V19" i="1" s="1"/>
  <c r="K31" i="1"/>
  <c r="L31" i="1" s="1"/>
  <c r="E32" i="1"/>
  <c r="F31" i="1"/>
  <c r="G31" i="1" s="1"/>
  <c r="H31" i="1" s="1"/>
  <c r="I31" i="1" s="1"/>
  <c r="J31" i="1" s="1"/>
  <c r="AF13" i="1"/>
  <c r="E34" i="2"/>
  <c r="H34" i="2" l="1"/>
  <c r="F36" i="2"/>
  <c r="AA37" i="2"/>
  <c r="B37" i="2"/>
  <c r="A38" i="2"/>
  <c r="W33" i="2"/>
  <c r="I23" i="2"/>
  <c r="R15" i="2"/>
  <c r="N12" i="2"/>
  <c r="AA38" i="2" l="1"/>
  <c r="B38" i="2"/>
  <c r="A39" i="2"/>
  <c r="F37" i="2"/>
  <c r="AC16" i="2"/>
  <c r="AH33" i="2"/>
  <c r="AB34" i="2"/>
  <c r="AG14" i="2"/>
  <c r="P21" i="1"/>
  <c r="Q21" i="1" s="1"/>
  <c r="R21" i="1"/>
  <c r="A35" i="1"/>
  <c r="D34" i="1"/>
  <c r="B34" i="1"/>
  <c r="Y34" i="1" s="1"/>
  <c r="W19" i="1"/>
  <c r="N22" i="1"/>
  <c r="O22" i="1" s="1"/>
  <c r="P22" i="1" s="1"/>
  <c r="Q22" i="1" s="1"/>
  <c r="F32" i="1"/>
  <c r="G32" i="1" s="1"/>
  <c r="H32" i="1" s="1"/>
  <c r="I32" i="1" s="1"/>
  <c r="J32" i="1" s="1"/>
  <c r="K32" i="1"/>
  <c r="L32" i="1" s="1"/>
  <c r="E33" i="1"/>
  <c r="AG13" i="1"/>
  <c r="J23" i="2"/>
  <c r="O12" i="2"/>
  <c r="W34" i="2"/>
  <c r="E35" i="2"/>
  <c r="H35" i="2" l="1"/>
  <c r="AE23" i="2"/>
  <c r="F38" i="2"/>
  <c r="AA39" i="2"/>
  <c r="B39" i="2"/>
  <c r="A40" i="2"/>
  <c r="S15" i="2"/>
  <c r="I24" i="2"/>
  <c r="J24" i="2"/>
  <c r="AA40" i="2" l="1"/>
  <c r="A41" i="2"/>
  <c r="B40" i="2"/>
  <c r="F39" i="2"/>
  <c r="AE24" i="2"/>
  <c r="P12" i="2"/>
  <c r="AB35" i="2"/>
  <c r="AH34" i="2"/>
  <c r="D35" i="1"/>
  <c r="B35" i="1"/>
  <c r="Y35" i="1" s="1"/>
  <c r="T20" i="1"/>
  <c r="U20" i="1"/>
  <c r="V20" i="1"/>
  <c r="W20" i="1"/>
  <c r="R22" i="1"/>
  <c r="K33" i="1"/>
  <c r="L33" i="1" s="1"/>
  <c r="E34" i="1"/>
  <c r="F33" i="1"/>
  <c r="G33" i="1"/>
  <c r="H33" i="1" s="1"/>
  <c r="I33" i="1" s="1"/>
  <c r="J33" i="1" s="1"/>
  <c r="AH13" i="1"/>
  <c r="AK13" i="1" s="1"/>
  <c r="I25" i="2"/>
  <c r="W35" i="2"/>
  <c r="E36" i="2"/>
  <c r="H36" i="2" l="1"/>
  <c r="F40" i="2"/>
  <c r="AA41" i="2"/>
  <c r="B41" i="2"/>
  <c r="A42" i="2"/>
  <c r="L13" i="2"/>
  <c r="T15" i="2"/>
  <c r="J25" i="2"/>
  <c r="F41" i="2" l="1"/>
  <c r="AA42" i="2"/>
  <c r="B42" i="2"/>
  <c r="A43" i="2"/>
  <c r="AE25" i="2"/>
  <c r="AD16" i="2"/>
  <c r="U15" i="2"/>
  <c r="AB36" i="2"/>
  <c r="AH35" i="2"/>
  <c r="AF12" i="2"/>
  <c r="T21" i="1"/>
  <c r="U21" i="1"/>
  <c r="V21" i="1" s="1"/>
  <c r="W21" i="1" s="1"/>
  <c r="N23" i="1"/>
  <c r="O23" i="1"/>
  <c r="P23" i="1" s="1"/>
  <c r="F34" i="1"/>
  <c r="G34" i="1" s="1"/>
  <c r="H34" i="1" s="1"/>
  <c r="I34" i="1" s="1"/>
  <c r="J34" i="1" s="1"/>
  <c r="E35" i="1"/>
  <c r="K35" i="1" s="1"/>
  <c r="K34" i="1"/>
  <c r="L34" i="1" s="1"/>
  <c r="L35" i="1" s="1"/>
  <c r="AJ13" i="1"/>
  <c r="AI13" i="1" s="1"/>
  <c r="M13" i="2"/>
  <c r="W36" i="2"/>
  <c r="I26" i="2"/>
  <c r="E37" i="2"/>
  <c r="H37" i="2" l="1"/>
  <c r="AA43" i="2"/>
  <c r="B43" i="2"/>
  <c r="A44" i="2"/>
  <c r="F42" i="2"/>
  <c r="J26" i="2"/>
  <c r="R16" i="2"/>
  <c r="F43" i="2" l="1"/>
  <c r="AA44" i="2"/>
  <c r="B44" i="2"/>
  <c r="A45" i="2"/>
  <c r="AD17" i="2"/>
  <c r="AC17" i="2"/>
  <c r="AE26" i="2"/>
  <c r="AB37" i="2"/>
  <c r="AH36" i="2"/>
  <c r="AG15" i="2"/>
  <c r="T22" i="1"/>
  <c r="U22" i="1"/>
  <c r="Q23" i="1"/>
  <c r="R23" i="1"/>
  <c r="F35" i="1"/>
  <c r="G35" i="1" s="1"/>
  <c r="H35" i="1" s="1"/>
  <c r="I35" i="1" s="1"/>
  <c r="J35" i="1" s="1"/>
  <c r="AC14" i="1"/>
  <c r="AD14" i="1" s="1"/>
  <c r="I27" i="2"/>
  <c r="N13" i="2"/>
  <c r="S16" i="2"/>
  <c r="E38" i="2"/>
  <c r="H38" i="2" l="1"/>
  <c r="AA45" i="2"/>
  <c r="B45" i="2"/>
  <c r="A46" i="2"/>
  <c r="F44" i="2"/>
  <c r="W37" i="2"/>
  <c r="F45" i="2" l="1"/>
  <c r="AA46" i="2"/>
  <c r="B46" i="2"/>
  <c r="A47" i="2"/>
  <c r="AC18" i="2"/>
  <c r="AH37" i="2"/>
  <c r="AB38" i="2"/>
  <c r="V22" i="1"/>
  <c r="W22" i="1"/>
  <c r="N24" i="1"/>
  <c r="O24" i="1" s="1"/>
  <c r="P24" i="1" s="1"/>
  <c r="Q24" i="1" s="1"/>
  <c r="AE14" i="1"/>
  <c r="AF14" i="1" s="1"/>
  <c r="J27" i="2"/>
  <c r="O13" i="2"/>
  <c r="W38" i="2"/>
  <c r="T16" i="2"/>
  <c r="E39" i="2"/>
  <c r="H39" i="2" l="1"/>
  <c r="AA47" i="2"/>
  <c r="A48" i="2"/>
  <c r="B47" i="2"/>
  <c r="F46" i="2"/>
  <c r="AE27" i="2"/>
  <c r="AH38" i="2"/>
  <c r="U16" i="2"/>
  <c r="AB39" i="2"/>
  <c r="P13" i="2"/>
  <c r="T23" i="1"/>
  <c r="U23" i="1"/>
  <c r="V23" i="1"/>
  <c r="W23" i="1"/>
  <c r="R24" i="1"/>
  <c r="AG14" i="1"/>
  <c r="AH14" i="1" s="1"/>
  <c r="AK14" i="1" s="1"/>
  <c r="W39" i="2"/>
  <c r="R17" i="2"/>
  <c r="I28" i="2"/>
  <c r="E40" i="2"/>
  <c r="H40" i="2" l="1"/>
  <c r="AA48" i="2"/>
  <c r="A49" i="2"/>
  <c r="B48" i="2"/>
  <c r="F47" i="2"/>
  <c r="L14" i="2"/>
  <c r="AA49" i="2" l="1"/>
  <c r="A50" i="2"/>
  <c r="B49" i="2"/>
  <c r="F48" i="2"/>
  <c r="AD18" i="2"/>
  <c r="AB40" i="2"/>
  <c r="AH39" i="2"/>
  <c r="AF13" i="2"/>
  <c r="AG16" i="2"/>
  <c r="T24" i="1"/>
  <c r="U24" i="1" s="1"/>
  <c r="N25" i="1"/>
  <c r="AJ14" i="1"/>
  <c r="AI14" i="1" s="1"/>
  <c r="M14" i="2"/>
  <c r="E41" i="2"/>
  <c r="H41" i="2" l="1"/>
  <c r="F49" i="2"/>
  <c r="AA50" i="2"/>
  <c r="B50" i="2"/>
  <c r="A51" i="2"/>
  <c r="J28" i="2"/>
  <c r="W40" i="2"/>
  <c r="S17" i="2"/>
  <c r="AA51" i="2" l="1"/>
  <c r="A52" i="2"/>
  <c r="B51" i="2"/>
  <c r="F50" i="2"/>
  <c r="AE28" i="2"/>
  <c r="AC19" i="2"/>
  <c r="AB41" i="2"/>
  <c r="AH40" i="2"/>
  <c r="V24" i="1"/>
  <c r="W24" i="1" s="1"/>
  <c r="O25" i="1"/>
  <c r="P25" i="1" s="1"/>
  <c r="Q25" i="1" s="1"/>
  <c r="AC15" i="1"/>
  <c r="AD15" i="1" s="1"/>
  <c r="E42" i="2"/>
  <c r="H42" i="2" l="1"/>
  <c r="F51" i="2"/>
  <c r="AA52" i="2"/>
  <c r="B52" i="2"/>
  <c r="A53" i="2"/>
  <c r="W41" i="2"/>
  <c r="I29" i="2"/>
  <c r="T17" i="2"/>
  <c r="N14" i="2"/>
  <c r="AA53" i="2" l="1"/>
  <c r="B53" i="2"/>
  <c r="A54" i="2"/>
  <c r="F52" i="2"/>
  <c r="AD19" i="2"/>
  <c r="AB42" i="2"/>
  <c r="U17" i="2"/>
  <c r="AH41" i="2"/>
  <c r="T25" i="1"/>
  <c r="U25" i="1"/>
  <c r="V25" i="1"/>
  <c r="W25" i="1"/>
  <c r="R25" i="1"/>
  <c r="AE15" i="1"/>
  <c r="J29" i="2"/>
  <c r="W42" i="2"/>
  <c r="R18" i="2"/>
  <c r="O14" i="2"/>
  <c r="E43" i="2"/>
  <c r="H43" i="2" l="1"/>
  <c r="AE29" i="2"/>
  <c r="F53" i="2"/>
  <c r="AA54" i="2"/>
  <c r="B54" i="2"/>
  <c r="A55" i="2"/>
  <c r="AC20" i="2"/>
  <c r="AB43" i="2"/>
  <c r="AH42" i="2"/>
  <c r="P14" i="2"/>
  <c r="AG17" i="2"/>
  <c r="T26" i="1"/>
  <c r="U26" i="1" s="1"/>
  <c r="N26" i="1"/>
  <c r="O26" i="1"/>
  <c r="P26" i="1" s="1"/>
  <c r="Q26" i="1" s="1"/>
  <c r="R26" i="1" s="1"/>
  <c r="AF15" i="1"/>
  <c r="AG15" i="1" s="1"/>
  <c r="I30" i="2"/>
  <c r="E44" i="2"/>
  <c r="H44" i="2" l="1"/>
  <c r="AA55" i="2"/>
  <c r="A56" i="2"/>
  <c r="B55" i="2"/>
  <c r="F54" i="2"/>
  <c r="L15" i="2"/>
  <c r="J30" i="2"/>
  <c r="W43" i="2"/>
  <c r="S18" i="2"/>
  <c r="AE30" i="2" l="1"/>
  <c r="F55" i="2"/>
  <c r="AA56" i="2"/>
  <c r="B56" i="2"/>
  <c r="A57" i="2"/>
  <c r="AH43" i="2"/>
  <c r="AB44" i="2"/>
  <c r="AF14" i="2"/>
  <c r="V26" i="1"/>
  <c r="W26" i="1" s="1"/>
  <c r="N27" i="1"/>
  <c r="AH15" i="1"/>
  <c r="AK15" i="1" s="1"/>
  <c r="T18" i="2"/>
  <c r="I31" i="2"/>
  <c r="E45" i="2"/>
  <c r="H45" i="2" l="1"/>
  <c r="AA57" i="2"/>
  <c r="A58" i="2"/>
  <c r="B57" i="2"/>
  <c r="F56" i="2"/>
  <c r="W44" i="2"/>
  <c r="M15" i="2"/>
  <c r="J31" i="2"/>
  <c r="AE31" i="2" l="1"/>
  <c r="F57" i="2"/>
  <c r="AA58" i="2"/>
  <c r="B58" i="2"/>
  <c r="A59" i="2"/>
  <c r="AD20" i="2"/>
  <c r="AB45" i="2"/>
  <c r="U18" i="2"/>
  <c r="AH44" i="2"/>
  <c r="T27" i="1"/>
  <c r="U27" i="1"/>
  <c r="V27" i="1"/>
  <c r="W27" i="1"/>
  <c r="O27" i="1"/>
  <c r="P27" i="1" s="1"/>
  <c r="Q27" i="1" s="1"/>
  <c r="AJ15" i="1"/>
  <c r="AI15" i="1" s="1"/>
  <c r="AC16" i="1" s="1"/>
  <c r="AD16" i="1" s="1"/>
  <c r="AE16" i="1" s="1"/>
  <c r="I32" i="2"/>
  <c r="E46" i="2"/>
  <c r="H46" i="2" l="1"/>
  <c r="AA59" i="2"/>
  <c r="A60" i="2"/>
  <c r="B59" i="2"/>
  <c r="F58" i="2"/>
  <c r="N15" i="2"/>
  <c r="R19" i="2"/>
  <c r="J32" i="2"/>
  <c r="W45" i="2"/>
  <c r="AE32" i="2" l="1"/>
  <c r="AA60" i="2"/>
  <c r="A61" i="2"/>
  <c r="B60" i="2"/>
  <c r="F59" i="2"/>
  <c r="AC21" i="2"/>
  <c r="AH45" i="2"/>
  <c r="AB46" i="2"/>
  <c r="AG18" i="2"/>
  <c r="T28" i="1"/>
  <c r="U28" i="1"/>
  <c r="V28" i="1" s="1"/>
  <c r="W28" i="1" s="1"/>
  <c r="R27" i="1"/>
  <c r="AF16" i="1"/>
  <c r="O15" i="2"/>
  <c r="I33" i="2"/>
  <c r="E47" i="2"/>
  <c r="H47" i="2" l="1"/>
  <c r="F60" i="2"/>
  <c r="AA61" i="2"/>
  <c r="A62" i="2"/>
  <c r="B61" i="2"/>
  <c r="J33" i="2"/>
  <c r="W46" i="2"/>
  <c r="S19" i="2"/>
  <c r="AA62" i="2" l="1"/>
  <c r="A63" i="2"/>
  <c r="B62" i="2"/>
  <c r="F61" i="2"/>
  <c r="AE33" i="2"/>
  <c r="AD21" i="2"/>
  <c r="AB47" i="2"/>
  <c r="P15" i="2"/>
  <c r="AH46" i="2"/>
  <c r="T29" i="1"/>
  <c r="U29" i="1"/>
  <c r="V29" i="1" s="1"/>
  <c r="W29" i="1" s="1"/>
  <c r="N28" i="1"/>
  <c r="O28" i="1"/>
  <c r="P28" i="1" s="1"/>
  <c r="Q28" i="1" s="1"/>
  <c r="AG16" i="1"/>
  <c r="I34" i="2"/>
  <c r="W47" i="2"/>
  <c r="T19" i="2"/>
  <c r="L16" i="2"/>
  <c r="J34" i="2"/>
  <c r="E48" i="2"/>
  <c r="H48" i="2" l="1"/>
  <c r="F62" i="2"/>
  <c r="AA63" i="2"/>
  <c r="A64" i="2"/>
  <c r="B63" i="2"/>
  <c r="AC22" i="2"/>
  <c r="AE34" i="2"/>
  <c r="AB48" i="2"/>
  <c r="AH47" i="2"/>
  <c r="U19" i="2"/>
  <c r="AF15" i="2"/>
  <c r="T30" i="1"/>
  <c r="U30" i="1"/>
  <c r="R28" i="1"/>
  <c r="AH16" i="1"/>
  <c r="AK16" i="1" s="1"/>
  <c r="W48" i="2"/>
  <c r="M16" i="2"/>
  <c r="E49" i="2"/>
  <c r="H49" i="2" l="1"/>
  <c r="AA64" i="2"/>
  <c r="A65" i="2"/>
  <c r="B64" i="2"/>
  <c r="F63" i="2"/>
  <c r="I35" i="2"/>
  <c r="J35" i="2" s="1"/>
  <c r="R20" i="2"/>
  <c r="AA65" i="2" l="1"/>
  <c r="A66" i="2"/>
  <c r="B65" i="2"/>
  <c r="F64" i="2"/>
  <c r="AE35" i="2"/>
  <c r="AD22" i="2"/>
  <c r="AH48" i="2"/>
  <c r="AB49" i="2"/>
  <c r="AG19" i="2"/>
  <c r="V30" i="1"/>
  <c r="W30" i="1"/>
  <c r="N29" i="1"/>
  <c r="O29" i="1"/>
  <c r="P29" i="1" s="1"/>
  <c r="AJ16" i="1"/>
  <c r="AI16" i="1" s="1"/>
  <c r="I36" i="2"/>
  <c r="J36" i="2"/>
  <c r="E50" i="2"/>
  <c r="H50" i="2" l="1"/>
  <c r="F65" i="2"/>
  <c r="AA66" i="2"/>
  <c r="A67" i="2"/>
  <c r="B66" i="2"/>
  <c r="N16" i="2"/>
  <c r="S20" i="2"/>
  <c r="W49" i="2"/>
  <c r="AA67" i="2" l="1"/>
  <c r="A68" i="2"/>
  <c r="B67" i="2"/>
  <c r="F66" i="2"/>
  <c r="AC23" i="2"/>
  <c r="AE36" i="2"/>
  <c r="AB50" i="2"/>
  <c r="AH49" i="2"/>
  <c r="Q29" i="1"/>
  <c r="R29" i="1" s="1"/>
  <c r="T31" i="1"/>
  <c r="U31" i="1"/>
  <c r="V31" i="1" s="1"/>
  <c r="AC17" i="1"/>
  <c r="AD17" i="1" s="1"/>
  <c r="E51" i="2"/>
  <c r="H51" i="2" l="1"/>
  <c r="AA68" i="2"/>
  <c r="A69" i="2"/>
  <c r="B68" i="2"/>
  <c r="F67" i="2"/>
  <c r="T20" i="2"/>
  <c r="O16" i="2"/>
  <c r="W50" i="2"/>
  <c r="I37" i="2"/>
  <c r="J37" i="2"/>
  <c r="AA69" i="2" l="1"/>
  <c r="B69" i="2"/>
  <c r="A70" i="2"/>
  <c r="F68" i="2"/>
  <c r="AE37" i="2"/>
  <c r="AD23" i="2"/>
  <c r="AH50" i="2"/>
  <c r="U20" i="2"/>
  <c r="AB51" i="2"/>
  <c r="P16" i="2"/>
  <c r="N30" i="1"/>
  <c r="O30" i="1"/>
  <c r="P30" i="1" s="1"/>
  <c r="W31" i="1"/>
  <c r="AE17" i="1"/>
  <c r="I38" i="2"/>
  <c r="E52" i="2"/>
  <c r="H52" i="2" l="1"/>
  <c r="F69" i="2"/>
  <c r="AA70" i="2"/>
  <c r="A71" i="2"/>
  <c r="B70" i="2"/>
  <c r="J38" i="2"/>
  <c r="W51" i="2"/>
  <c r="R21" i="2"/>
  <c r="L17" i="2"/>
  <c r="AA71" i="2" l="1"/>
  <c r="A72" i="2"/>
  <c r="B71" i="2"/>
  <c r="F70" i="2"/>
  <c r="AC24" i="2"/>
  <c r="AE38" i="2"/>
  <c r="AB52" i="2"/>
  <c r="AH51" i="2"/>
  <c r="AF16" i="2"/>
  <c r="AG20" i="2"/>
  <c r="Q30" i="1"/>
  <c r="R30" i="1"/>
  <c r="T32" i="1"/>
  <c r="U32" i="1"/>
  <c r="V32" i="1" s="1"/>
  <c r="W32" i="1" s="1"/>
  <c r="N31" i="1"/>
  <c r="O31" i="1"/>
  <c r="P31" i="1" s="1"/>
  <c r="Q31" i="1" s="1"/>
  <c r="AF17" i="1"/>
  <c r="S21" i="2"/>
  <c r="M17" i="2"/>
  <c r="I39" i="2"/>
  <c r="W52" i="2"/>
  <c r="J39" i="2"/>
  <c r="E53" i="2"/>
  <c r="H53" i="2" l="1"/>
  <c r="F71" i="2"/>
  <c r="AA72" i="2"/>
  <c r="A73" i="2"/>
  <c r="B72" i="2"/>
  <c r="AE39" i="2"/>
  <c r="AD24" i="2"/>
  <c r="AB53" i="2"/>
  <c r="AH52" i="2"/>
  <c r="T33" i="1"/>
  <c r="U33" i="1"/>
  <c r="V33" i="1"/>
  <c r="W33" i="1" s="1"/>
  <c r="R31" i="1"/>
  <c r="AG17" i="1"/>
  <c r="I40" i="2"/>
  <c r="E54" i="2"/>
  <c r="H54" i="2" l="1"/>
  <c r="AA73" i="2"/>
  <c r="A74" i="2"/>
  <c r="B73" i="2"/>
  <c r="F72" i="2"/>
  <c r="T21" i="2"/>
  <c r="W53" i="2"/>
  <c r="N17" i="2"/>
  <c r="J40" i="2"/>
  <c r="AA74" i="2" l="1"/>
  <c r="A75" i="2"/>
  <c r="B74" i="2"/>
  <c r="F73" i="2"/>
  <c r="AE40" i="2"/>
  <c r="AC25" i="2"/>
  <c r="AH53" i="2"/>
  <c r="U21" i="2"/>
  <c r="AB54" i="2"/>
  <c r="T34" i="1"/>
  <c r="U34" i="1"/>
  <c r="N32" i="1"/>
  <c r="O32" i="1"/>
  <c r="P32" i="1"/>
  <c r="Q32" i="1" s="1"/>
  <c r="R32" i="1" s="1"/>
  <c r="AH17" i="1"/>
  <c r="AK17" i="1" s="1"/>
  <c r="I41" i="2"/>
  <c r="E55" i="2"/>
  <c r="H55" i="2" l="1"/>
  <c r="F74" i="2"/>
  <c r="AA75" i="2"/>
  <c r="B75" i="2"/>
  <c r="A76" i="2"/>
  <c r="O17" i="2"/>
  <c r="R22" i="2"/>
  <c r="J41" i="2"/>
  <c r="W54" i="2"/>
  <c r="AA76" i="2" l="1"/>
  <c r="A77" i="2"/>
  <c r="B76" i="2"/>
  <c r="F75" i="2"/>
  <c r="AE41" i="2"/>
  <c r="AD25" i="2"/>
  <c r="AB55" i="2"/>
  <c r="P17" i="2"/>
  <c r="AH54" i="2"/>
  <c r="AG21" i="2"/>
  <c r="V34" i="1"/>
  <c r="W34" i="1"/>
  <c r="N33" i="1"/>
  <c r="O33" i="1"/>
  <c r="P33" i="1" s="1"/>
  <c r="Q33" i="1" s="1"/>
  <c r="AJ17" i="1"/>
  <c r="AI17" i="1" s="1"/>
  <c r="S22" i="2"/>
  <c r="W55" i="2"/>
  <c r="I42" i="2"/>
  <c r="J42" i="2" s="1"/>
  <c r="E56" i="2"/>
  <c r="H56" i="2" l="1"/>
  <c r="F76" i="2"/>
  <c r="AA77" i="2"/>
  <c r="A78" i="2"/>
  <c r="B77" i="2"/>
  <c r="L18" i="2"/>
  <c r="AA78" i="2" l="1"/>
  <c r="A79" i="2"/>
  <c r="B78" i="2"/>
  <c r="F77" i="2"/>
  <c r="AE42" i="2"/>
  <c r="AC26" i="2"/>
  <c r="AH55" i="2"/>
  <c r="AB56" i="2"/>
  <c r="AF17" i="2"/>
  <c r="T35" i="1"/>
  <c r="U35" i="1"/>
  <c r="V35" i="1"/>
  <c r="W35" i="1" s="1"/>
  <c r="R33" i="1"/>
  <c r="AC18" i="1"/>
  <c r="AD18" i="1" s="1"/>
  <c r="E57" i="2"/>
  <c r="H57" i="2" l="1"/>
  <c r="F78" i="2"/>
  <c r="AA79" i="2"/>
  <c r="B79" i="2"/>
  <c r="A80" i="2"/>
  <c r="T22" i="2"/>
  <c r="M18" i="2"/>
  <c r="W56" i="2"/>
  <c r="I43" i="2"/>
  <c r="AA80" i="2" l="1"/>
  <c r="A81" i="2"/>
  <c r="B80" i="2"/>
  <c r="F79" i="2"/>
  <c r="AD26" i="2"/>
  <c r="U22" i="2"/>
  <c r="AB57" i="2"/>
  <c r="AH56" i="2"/>
  <c r="N34" i="1"/>
  <c r="O34" i="1"/>
  <c r="P34" i="1"/>
  <c r="Q34" i="1" s="1"/>
  <c r="R34" i="1" s="1"/>
  <c r="AE18" i="1"/>
  <c r="AF18" i="1" s="1"/>
  <c r="AG18" i="1" s="1"/>
  <c r="AH18" i="1" s="1"/>
  <c r="AK18" i="1" s="1"/>
  <c r="J43" i="2"/>
  <c r="R23" i="2"/>
  <c r="N18" i="2"/>
  <c r="W57" i="2"/>
  <c r="E58" i="2"/>
  <c r="H58" i="2" l="1"/>
  <c r="AE43" i="2"/>
  <c r="AA81" i="2"/>
  <c r="B81" i="2"/>
  <c r="A82" i="2"/>
  <c r="F80" i="2"/>
  <c r="AC27" i="2"/>
  <c r="AB58" i="2"/>
  <c r="AH57" i="2"/>
  <c r="AG22" i="2"/>
  <c r="N35" i="1"/>
  <c r="O35" i="1"/>
  <c r="P35" i="1" s="1"/>
  <c r="Q35" i="1" s="1"/>
  <c r="AJ18" i="1"/>
  <c r="AI18" i="1" s="1"/>
  <c r="AC19" i="1" s="1"/>
  <c r="AD19" i="1" s="1"/>
  <c r="AE19" i="1" s="1"/>
  <c r="I44" i="2"/>
  <c r="S23" i="2"/>
  <c r="W58" i="2"/>
  <c r="J44" i="2"/>
  <c r="O18" i="2"/>
  <c r="E59" i="2"/>
  <c r="H59" i="2" l="1"/>
  <c r="AE44" i="2"/>
  <c r="F81" i="2"/>
  <c r="AA82" i="2"/>
  <c r="B82" i="2"/>
  <c r="A83" i="2"/>
  <c r="AD27" i="2"/>
  <c r="P18" i="2"/>
  <c r="AH58" i="2"/>
  <c r="AB59" i="2"/>
  <c r="R35" i="1"/>
  <c r="AF19" i="1"/>
  <c r="I45" i="2"/>
  <c r="W59" i="2"/>
  <c r="J45" i="2"/>
  <c r="E60" i="2"/>
  <c r="H60" i="2" l="1"/>
  <c r="AE45" i="2"/>
  <c r="F82" i="2"/>
  <c r="AA83" i="2"/>
  <c r="A84" i="2"/>
  <c r="B83" i="2"/>
  <c r="L19" i="2"/>
  <c r="T23" i="2"/>
  <c r="I46" i="2"/>
  <c r="J46" i="2" s="1"/>
  <c r="F83" i="2" l="1"/>
  <c r="AA84" i="2"/>
  <c r="B84" i="2"/>
  <c r="A85" i="2"/>
  <c r="AE46" i="2"/>
  <c r="AC28" i="2"/>
  <c r="U23" i="2"/>
  <c r="AB60" i="2"/>
  <c r="AH59" i="2"/>
  <c r="AF18" i="2"/>
  <c r="AG19" i="1"/>
  <c r="I47" i="2"/>
  <c r="W60" i="2"/>
  <c r="M19" i="2"/>
  <c r="E61" i="2"/>
  <c r="H61" i="2" l="1"/>
  <c r="AA85" i="2"/>
  <c r="A86" i="2"/>
  <c r="B85" i="2"/>
  <c r="F84" i="2"/>
  <c r="J47" i="2"/>
  <c r="R24" i="2"/>
  <c r="AA86" i="2" l="1"/>
  <c r="A87" i="2"/>
  <c r="B86" i="2"/>
  <c r="F85" i="2"/>
  <c r="AE47" i="2"/>
  <c r="AD28" i="2"/>
  <c r="AH60" i="2"/>
  <c r="AB61" i="2"/>
  <c r="AG23" i="2"/>
  <c r="AH19" i="1"/>
  <c r="AJ19" i="1" s="1"/>
  <c r="AI19" i="1" s="1"/>
  <c r="N19" i="2"/>
  <c r="S24" i="2"/>
  <c r="I48" i="2"/>
  <c r="E62" i="2"/>
  <c r="H62" i="2" l="1"/>
  <c r="F86" i="2"/>
  <c r="AA87" i="2"/>
  <c r="A88" i="2"/>
  <c r="B87" i="2"/>
  <c r="W61" i="2"/>
  <c r="J48" i="2"/>
  <c r="AA88" i="2" l="1"/>
  <c r="A89" i="2"/>
  <c r="B88" i="2"/>
  <c r="F87" i="2"/>
  <c r="AC29" i="2"/>
  <c r="AB62" i="2"/>
  <c r="AH61" i="2"/>
  <c r="AE48" i="2"/>
  <c r="AC20" i="1"/>
  <c r="AD20" i="1"/>
  <c r="AK19" i="1"/>
  <c r="W62" i="2"/>
  <c r="O19" i="2"/>
  <c r="I49" i="2"/>
  <c r="T24" i="2"/>
  <c r="E63" i="2"/>
  <c r="H63" i="2" l="1"/>
  <c r="F88" i="2"/>
  <c r="AA89" i="2"/>
  <c r="B89" i="2"/>
  <c r="A90" i="2"/>
  <c r="AD29" i="2"/>
  <c r="U24" i="2"/>
  <c r="AH62" i="2"/>
  <c r="AB63" i="2"/>
  <c r="P19" i="2"/>
  <c r="AE20" i="1"/>
  <c r="E64" i="2"/>
  <c r="H64" i="2" l="1"/>
  <c r="AA90" i="2"/>
  <c r="A91" i="2"/>
  <c r="B90" i="2"/>
  <c r="F89" i="2"/>
  <c r="W63" i="2"/>
  <c r="L20" i="2"/>
  <c r="J49" i="2"/>
  <c r="R25" i="2"/>
  <c r="AA91" i="2" l="1"/>
  <c r="A92" i="2"/>
  <c r="B91" i="2"/>
  <c r="F90" i="2"/>
  <c r="AC30" i="2"/>
  <c r="AE49" i="2"/>
  <c r="AB64" i="2"/>
  <c r="AH63" i="2"/>
  <c r="AF19" i="2"/>
  <c r="AG24" i="2"/>
  <c r="AF20" i="1"/>
  <c r="M20" i="2"/>
  <c r="E65" i="2"/>
  <c r="H65" i="2" l="1"/>
  <c r="F91" i="2"/>
  <c r="AA92" i="2"/>
  <c r="A93" i="2"/>
  <c r="B92" i="2"/>
  <c r="W64" i="2"/>
  <c r="I50" i="2"/>
  <c r="S25" i="2"/>
  <c r="AA93" i="2" l="1"/>
  <c r="B93" i="2"/>
  <c r="A94" i="2"/>
  <c r="F92" i="2"/>
  <c r="AB65" i="2"/>
  <c r="AH64" i="2"/>
  <c r="AG20" i="1"/>
  <c r="AH20" i="1" s="1"/>
  <c r="N20" i="2"/>
  <c r="T25" i="2"/>
  <c r="W65" i="2"/>
  <c r="E66" i="2"/>
  <c r="H66" i="2" l="1"/>
  <c r="F93" i="2"/>
  <c r="AA94" i="2"/>
  <c r="A95" i="2"/>
  <c r="B94" i="2"/>
  <c r="J50" i="2"/>
  <c r="F94" i="2" l="1"/>
  <c r="AA95" i="2"/>
  <c r="A96" i="2"/>
  <c r="B95" i="2"/>
  <c r="AD30" i="2"/>
  <c r="U25" i="2"/>
  <c r="AB66" i="2"/>
  <c r="AH65" i="2"/>
  <c r="AE50" i="2"/>
  <c r="AK20" i="1"/>
  <c r="AJ20" i="1"/>
  <c r="AI20" i="1" s="1"/>
  <c r="O20" i="2"/>
  <c r="I51" i="2"/>
  <c r="R26" i="2"/>
  <c r="W66" i="2"/>
  <c r="E67" i="2"/>
  <c r="H67" i="2" l="1"/>
  <c r="AA96" i="2"/>
  <c r="B96" i="2"/>
  <c r="A97" i="2"/>
  <c r="F95" i="2"/>
  <c r="AD31" i="2"/>
  <c r="AC31" i="2"/>
  <c r="AB67" i="2"/>
  <c r="P20" i="2"/>
  <c r="AH66" i="2"/>
  <c r="AG25" i="2"/>
  <c r="AC21" i="1"/>
  <c r="AD21" i="1" s="1"/>
  <c r="J51" i="2"/>
  <c r="S26" i="2"/>
  <c r="E68" i="2"/>
  <c r="H68" i="2" l="1"/>
  <c r="F96" i="2"/>
  <c r="AA97" i="2"/>
  <c r="A98" i="2"/>
  <c r="B97" i="2"/>
  <c r="L21" i="2"/>
  <c r="W67" i="2"/>
  <c r="F97" i="2" l="1"/>
  <c r="AA98" i="2"/>
  <c r="A99" i="2"/>
  <c r="B98" i="2"/>
  <c r="AD32" i="2"/>
  <c r="AC32" i="2"/>
  <c r="AE51" i="2"/>
  <c r="AB68" i="2"/>
  <c r="AH67" i="2"/>
  <c r="AF20" i="2"/>
  <c r="AE21" i="1"/>
  <c r="E69" i="2"/>
  <c r="H69" i="2" l="1"/>
  <c r="AA99" i="2"/>
  <c r="A100" i="2"/>
  <c r="B99" i="2"/>
  <c r="F98" i="2"/>
  <c r="I52" i="2"/>
  <c r="W68" i="2"/>
  <c r="M21" i="2"/>
  <c r="T26" i="2"/>
  <c r="F99" i="2" l="1"/>
  <c r="AA100" i="2"/>
  <c r="B100" i="2"/>
  <c r="A101" i="2"/>
  <c r="AD33" i="2"/>
  <c r="AC33" i="2"/>
  <c r="U26" i="2"/>
  <c r="AH68" i="2"/>
  <c r="AB69" i="2"/>
  <c r="AF21" i="1"/>
  <c r="AG21" i="1" s="1"/>
  <c r="N21" i="2"/>
  <c r="R27" i="2"/>
  <c r="J52" i="2"/>
  <c r="E70" i="2"/>
  <c r="H70" i="2" l="1"/>
  <c r="AA101" i="2"/>
  <c r="A102" i="2"/>
  <c r="B101" i="2"/>
  <c r="F100" i="2"/>
  <c r="W69" i="2"/>
  <c r="F101" i="2" l="1"/>
  <c r="AA102" i="2"/>
  <c r="A103" i="2"/>
  <c r="AA103" i="2" s="1"/>
  <c r="B102" i="2"/>
  <c r="AC34" i="2"/>
  <c r="AH69" i="2"/>
  <c r="AB70" i="2"/>
  <c r="AE52" i="2"/>
  <c r="AG26" i="2"/>
  <c r="A104" i="2"/>
  <c r="AA104" i="2" s="1"/>
  <c r="AH21" i="1"/>
  <c r="AJ21" i="1" s="1"/>
  <c r="AI21" i="1" s="1"/>
  <c r="E71" i="2"/>
  <c r="H71" i="2" l="1"/>
  <c r="B103" i="2"/>
  <c r="F102" i="2"/>
  <c r="S27" i="2"/>
  <c r="W70" i="2"/>
  <c r="O21" i="2"/>
  <c r="I53" i="2"/>
  <c r="F103" i="2" l="1"/>
  <c r="AB71" i="2"/>
  <c r="AH70" i="2"/>
  <c r="P21" i="2"/>
  <c r="B104" i="2"/>
  <c r="AC22" i="1"/>
  <c r="AD22" i="1"/>
  <c r="AK21" i="1"/>
  <c r="E72" i="2"/>
  <c r="H72" i="2" l="1"/>
  <c r="F104" i="2"/>
  <c r="J53" i="2"/>
  <c r="L22" i="2"/>
  <c r="W71" i="2"/>
  <c r="T27" i="2"/>
  <c r="AD34" i="2" l="1"/>
  <c r="AH71" i="2"/>
  <c r="AE53" i="2"/>
  <c r="AB72" i="2"/>
  <c r="U27" i="2"/>
  <c r="AF21" i="2"/>
  <c r="AE22" i="1"/>
  <c r="R28" i="2"/>
  <c r="I54" i="2"/>
  <c r="M22" i="2"/>
  <c r="W72" i="2"/>
  <c r="E73" i="2"/>
  <c r="H73" i="2" l="1"/>
  <c r="AD35" i="2"/>
  <c r="AC35" i="2"/>
  <c r="AB73" i="2"/>
  <c r="AH72" i="2"/>
  <c r="AG27" i="2"/>
  <c r="AF22" i="1"/>
  <c r="AG22" i="1" s="1"/>
  <c r="N22" i="2"/>
  <c r="W73" i="2"/>
  <c r="E74" i="2"/>
  <c r="H74" i="2" l="1"/>
  <c r="J54" i="2"/>
  <c r="S28" i="2"/>
  <c r="AD36" i="2" l="1"/>
  <c r="AC36" i="2"/>
  <c r="AH73" i="2"/>
  <c r="AE54" i="2"/>
  <c r="AB74" i="2"/>
  <c r="AH22" i="1"/>
  <c r="AJ22" i="1" s="1"/>
  <c r="AI22" i="1" s="1"/>
  <c r="I55" i="2"/>
  <c r="O22" i="2"/>
  <c r="W74" i="2"/>
  <c r="E75" i="2"/>
  <c r="H75" i="2" l="1"/>
  <c r="T28" i="2"/>
  <c r="AC37" i="2" l="1"/>
  <c r="AH74" i="2"/>
  <c r="AB75" i="2"/>
  <c r="U28" i="2"/>
  <c r="P22" i="2"/>
  <c r="AC23" i="1"/>
  <c r="AK22" i="1"/>
  <c r="R29" i="2"/>
  <c r="W75" i="2"/>
  <c r="J55" i="2"/>
  <c r="E76" i="2"/>
  <c r="H76" i="2" l="1"/>
  <c r="L23" i="2"/>
  <c r="AB76" i="2" l="1"/>
  <c r="AH75" i="2"/>
  <c r="AE55" i="2"/>
  <c r="AG28" i="2"/>
  <c r="AF22" i="2"/>
  <c r="AD23" i="1"/>
  <c r="AE23" i="1" s="1"/>
  <c r="M23" i="2"/>
  <c r="I56" i="2"/>
  <c r="W76" i="2"/>
  <c r="E77" i="2"/>
  <c r="H77" i="2" l="1"/>
  <c r="S29" i="2"/>
  <c r="AD37" i="2" l="1"/>
  <c r="AB77" i="2"/>
  <c r="AH76" i="2"/>
  <c r="AF23" i="1"/>
  <c r="AG23" i="1" s="1"/>
  <c r="AH23" i="1" s="1"/>
  <c r="AK23" i="1" s="1"/>
  <c r="T29" i="2"/>
  <c r="J56" i="2"/>
  <c r="W77" i="2"/>
  <c r="N23" i="2"/>
  <c r="E78" i="2"/>
  <c r="H78" i="2" l="1"/>
  <c r="AD38" i="2"/>
  <c r="AC38" i="2"/>
  <c r="U29" i="2"/>
  <c r="AB78" i="2"/>
  <c r="AH77" i="2"/>
  <c r="AE56" i="2"/>
  <c r="AJ23" i="1"/>
  <c r="AI23" i="1" s="1"/>
  <c r="AC24" i="1" s="1"/>
  <c r="W78" i="2"/>
  <c r="R30" i="2"/>
  <c r="O23" i="2"/>
  <c r="E79" i="2"/>
  <c r="H79" i="2" l="1"/>
  <c r="I57" i="2"/>
  <c r="AC39" i="2" l="1"/>
  <c r="AH78" i="2"/>
  <c r="P23" i="2"/>
  <c r="AB79" i="2"/>
  <c r="AG29" i="2"/>
  <c r="AD24" i="1"/>
  <c r="AE24" i="1" s="1"/>
  <c r="J57" i="2"/>
  <c r="E80" i="2"/>
  <c r="H80" i="2" l="1"/>
  <c r="W79" i="2"/>
  <c r="S30" i="2"/>
  <c r="L24" i="2"/>
  <c r="AH79" i="2" l="1"/>
  <c r="AB80" i="2"/>
  <c r="AE57" i="2"/>
  <c r="AF23" i="2"/>
  <c r="AF24" i="1"/>
  <c r="AG24" i="1" s="1"/>
  <c r="W80" i="2"/>
  <c r="M24" i="2"/>
  <c r="I58" i="2"/>
  <c r="E81" i="2"/>
  <c r="H81" i="2" l="1"/>
  <c r="T30" i="2"/>
  <c r="AD39" i="2" l="1"/>
  <c r="AB81" i="2"/>
  <c r="AH80" i="2"/>
  <c r="U30" i="2"/>
  <c r="AH24" i="1"/>
  <c r="AK24" i="1" s="1"/>
  <c r="R31" i="2"/>
  <c r="J58" i="2"/>
  <c r="E82" i="2"/>
  <c r="H82" i="2" l="1"/>
  <c r="N24" i="2"/>
  <c r="W81" i="2"/>
  <c r="AC40" i="2" l="1"/>
  <c r="AH81" i="2"/>
  <c r="AB82" i="2"/>
  <c r="AE58" i="2"/>
  <c r="AG30" i="2"/>
  <c r="AJ24" i="1"/>
  <c r="AI24" i="1" s="1"/>
  <c r="AC25" i="1" s="1"/>
  <c r="AD25" i="1" s="1"/>
  <c r="E83" i="2"/>
  <c r="H83" i="2" l="1"/>
  <c r="S31" i="2"/>
  <c r="I59" i="2"/>
  <c r="W82" i="2"/>
  <c r="O24" i="2"/>
  <c r="AD40" i="2" l="1"/>
  <c r="AH82" i="2"/>
  <c r="AB83" i="2"/>
  <c r="P24" i="2"/>
  <c r="AE25" i="1"/>
  <c r="AF25" i="1" s="1"/>
  <c r="E84" i="2"/>
  <c r="H84" i="2" l="1"/>
  <c r="W83" i="2"/>
  <c r="J59" i="2"/>
  <c r="T31" i="2"/>
  <c r="L25" i="2"/>
  <c r="AC41" i="2" l="1"/>
  <c r="U31" i="2"/>
  <c r="AE59" i="2"/>
  <c r="AH83" i="2"/>
  <c r="AB84" i="2"/>
  <c r="AF24" i="2"/>
  <c r="AG25" i="1"/>
  <c r="AH25" i="1"/>
  <c r="AK25" i="1" s="1"/>
  <c r="W84" i="2"/>
  <c r="M25" i="2"/>
  <c r="E85" i="2"/>
  <c r="H85" i="2" l="1"/>
  <c r="I60" i="2"/>
  <c r="R32" i="2"/>
  <c r="AB85" i="2" l="1"/>
  <c r="AH84" i="2"/>
  <c r="AG31" i="2"/>
  <c r="AJ25" i="1"/>
  <c r="AI25" i="1" s="1"/>
  <c r="AC26" i="1" s="1"/>
  <c r="AD26" i="1" s="1"/>
  <c r="W85" i="2"/>
  <c r="S32" i="2"/>
  <c r="J60" i="2"/>
  <c r="E86" i="2"/>
  <c r="H86" i="2" l="1"/>
  <c r="N25" i="2"/>
  <c r="AD41" i="2" l="1"/>
  <c r="AB86" i="2"/>
  <c r="AE60" i="2"/>
  <c r="AH85" i="2"/>
  <c r="AE26" i="1"/>
  <c r="I61" i="2"/>
  <c r="W86" i="2"/>
  <c r="E87" i="2"/>
  <c r="H87" i="2" l="1"/>
  <c r="O25" i="2"/>
  <c r="T32" i="2"/>
  <c r="AD42" i="2" l="1"/>
  <c r="AC42" i="2"/>
  <c r="P25" i="2"/>
  <c r="AH86" i="2"/>
  <c r="AB87" i="2"/>
  <c r="U32" i="2"/>
  <c r="AF26" i="1"/>
  <c r="W87" i="2"/>
  <c r="J61" i="2"/>
  <c r="R33" i="2"/>
  <c r="L26" i="2"/>
  <c r="E88" i="2"/>
  <c r="H88" i="2" l="1"/>
  <c r="AC43" i="2"/>
  <c r="AH87" i="2"/>
  <c r="AB88" i="2"/>
  <c r="AE61" i="2"/>
  <c r="AG32" i="2"/>
  <c r="AF25" i="2"/>
  <c r="AG26" i="1"/>
  <c r="S33" i="2"/>
  <c r="E89" i="2"/>
  <c r="H89" i="2" l="1"/>
  <c r="M26" i="2"/>
  <c r="I62" i="2"/>
  <c r="W88" i="2"/>
  <c r="AH88" i="2" l="1"/>
  <c r="AB89" i="2"/>
  <c r="AH26" i="1"/>
  <c r="AJ26" i="1" s="1"/>
  <c r="AI26" i="1" s="1"/>
  <c r="W89" i="2"/>
  <c r="N26" i="2"/>
  <c r="J62" i="2"/>
  <c r="E90" i="2"/>
  <c r="H90" i="2" l="1"/>
  <c r="T33" i="2"/>
  <c r="AD43" i="2" l="1"/>
  <c r="AE62" i="2"/>
  <c r="U33" i="2"/>
  <c r="AB90" i="2"/>
  <c r="AH89" i="2"/>
  <c r="AC27" i="1"/>
  <c r="AD27" i="1"/>
  <c r="AK26" i="1"/>
  <c r="R34" i="2"/>
  <c r="E91" i="2"/>
  <c r="H91" i="2" l="1"/>
  <c r="O26" i="2"/>
  <c r="I63" i="2"/>
  <c r="W90" i="2"/>
  <c r="AC44" i="2" l="1"/>
  <c r="AB91" i="2"/>
  <c r="P26" i="2"/>
  <c r="AH90" i="2"/>
  <c r="AG33" i="2"/>
  <c r="AE27" i="1"/>
  <c r="AF27" i="1"/>
  <c r="AG27" i="1" s="1"/>
  <c r="E92" i="2"/>
  <c r="H92" i="2" l="1"/>
  <c r="J63" i="2"/>
  <c r="L27" i="2"/>
  <c r="W91" i="2"/>
  <c r="S34" i="2"/>
  <c r="AD44" i="2" l="1"/>
  <c r="AH91" i="2"/>
  <c r="AB92" i="2"/>
  <c r="AE63" i="2"/>
  <c r="AF26" i="2"/>
  <c r="AH27" i="1"/>
  <c r="AK27" i="1" s="1"/>
  <c r="AJ27" i="1"/>
  <c r="AI27" i="1" s="1"/>
  <c r="AC28" i="1" s="1"/>
  <c r="E93" i="2"/>
  <c r="H93" i="2" l="1"/>
  <c r="W92" i="2"/>
  <c r="I64" i="2"/>
  <c r="T34" i="2"/>
  <c r="M27" i="2"/>
  <c r="AD45" i="2" l="1"/>
  <c r="AC45" i="2"/>
  <c r="AH92" i="2"/>
  <c r="AB93" i="2"/>
  <c r="U34" i="2"/>
  <c r="AD28" i="1"/>
  <c r="AE28" i="1"/>
  <c r="AF28" i="1" s="1"/>
  <c r="E94" i="2"/>
  <c r="H94" i="2" l="1"/>
  <c r="J64" i="2"/>
  <c r="N27" i="2"/>
  <c r="W93" i="2"/>
  <c r="R35" i="2"/>
  <c r="AC46" i="2" l="1"/>
  <c r="AB94" i="2"/>
  <c r="AE64" i="2"/>
  <c r="AH93" i="2"/>
  <c r="AG34" i="2"/>
  <c r="AG28" i="1"/>
  <c r="AH28" i="1" s="1"/>
  <c r="AK28" i="1" s="1"/>
  <c r="I65" i="2"/>
  <c r="O27" i="2"/>
  <c r="S35" i="2"/>
  <c r="E95" i="2"/>
  <c r="H95" i="2" l="1"/>
  <c r="W94" i="2"/>
  <c r="AH94" i="2" l="1"/>
  <c r="AB95" i="2"/>
  <c r="P27" i="2"/>
  <c r="AJ28" i="1"/>
  <c r="AI28" i="1" s="1"/>
  <c r="AC29" i="1" s="1"/>
  <c r="AD29" i="1" s="1"/>
  <c r="W95" i="2"/>
  <c r="L28" i="2"/>
  <c r="J65" i="2"/>
  <c r="E96" i="2"/>
  <c r="H96" i="2" l="1"/>
  <c r="T35" i="2"/>
  <c r="AD46" i="2" l="1"/>
  <c r="AB96" i="2"/>
  <c r="AH95" i="2"/>
  <c r="U35" i="2"/>
  <c r="AE65" i="2"/>
  <c r="AF27" i="2"/>
  <c r="AE29" i="1"/>
  <c r="W96" i="2"/>
  <c r="M28" i="2"/>
  <c r="R36" i="2"/>
  <c r="I66" i="2"/>
  <c r="E97" i="2"/>
  <c r="H97" i="2" l="1"/>
  <c r="AD47" i="2"/>
  <c r="AC47" i="2"/>
  <c r="AB97" i="2"/>
  <c r="AH96" i="2"/>
  <c r="AG35" i="2"/>
  <c r="AF29" i="1"/>
  <c r="E98" i="2"/>
  <c r="H98" i="2" l="1"/>
  <c r="N28" i="2"/>
  <c r="W97" i="2"/>
  <c r="J66" i="2"/>
  <c r="S36" i="2"/>
  <c r="AC48" i="2" l="1"/>
  <c r="AE66" i="2"/>
  <c r="AB98" i="2"/>
  <c r="AH97" i="2"/>
  <c r="AG29" i="1"/>
  <c r="E99" i="2"/>
  <c r="H99" i="2" l="1"/>
  <c r="O28" i="2"/>
  <c r="W98" i="2"/>
  <c r="T36" i="2"/>
  <c r="I67" i="2"/>
  <c r="AD48" i="2" l="1"/>
  <c r="P28" i="2"/>
  <c r="U36" i="2"/>
  <c r="AB99" i="2"/>
  <c r="AH98" i="2"/>
  <c r="AH29" i="1"/>
  <c r="AK29" i="1" s="1"/>
  <c r="E100" i="2"/>
  <c r="H100" i="2" l="1"/>
  <c r="W99" i="2"/>
  <c r="R37" i="2"/>
  <c r="J67" i="2"/>
  <c r="L29" i="2"/>
  <c r="AC49" i="2" l="1"/>
  <c r="AB100" i="2"/>
  <c r="AH99" i="2"/>
  <c r="AE67" i="2"/>
  <c r="AF28" i="2"/>
  <c r="AG36" i="2"/>
  <c r="AJ29" i="1"/>
  <c r="AI29" i="1" s="1"/>
  <c r="S37" i="2"/>
  <c r="M29" i="2"/>
  <c r="E101" i="2"/>
  <c r="H101" i="2" l="1"/>
  <c r="W100" i="2"/>
  <c r="I68" i="2"/>
  <c r="AD49" i="2" l="1"/>
  <c r="AH100" i="2"/>
  <c r="AB101" i="2"/>
  <c r="AC30" i="1"/>
  <c r="AD30" i="1"/>
  <c r="AE30" i="1" s="1"/>
  <c r="W101" i="2"/>
  <c r="N29" i="2"/>
  <c r="T37" i="2"/>
  <c r="E102" i="2"/>
  <c r="H102" i="2" l="1"/>
  <c r="J68" i="2"/>
  <c r="AD50" i="2" l="1"/>
  <c r="AC50" i="2"/>
  <c r="AH101" i="2"/>
  <c r="AE68" i="2"/>
  <c r="AB102" i="2"/>
  <c r="U37" i="2"/>
  <c r="AF30" i="1"/>
  <c r="AG30" i="1"/>
  <c r="AH30" i="1" s="1"/>
  <c r="I69" i="2"/>
  <c r="E103" i="2"/>
  <c r="H103" i="2" l="1"/>
  <c r="R38" i="2"/>
  <c r="W102" i="2"/>
  <c r="O29" i="2"/>
  <c r="AC51" i="2" l="1"/>
  <c r="AH102" i="2"/>
  <c r="P29" i="2"/>
  <c r="AB103" i="2"/>
  <c r="AG37" i="2"/>
  <c r="AJ30" i="1"/>
  <c r="AI30" i="1" s="1"/>
  <c r="AK30" i="1"/>
  <c r="J69" i="2"/>
  <c r="E104" i="2"/>
  <c r="H104" i="2" l="1"/>
  <c r="S38" i="2"/>
  <c r="W103" i="2"/>
  <c r="L30" i="2"/>
  <c r="AD51" i="2" l="1"/>
  <c r="AH103" i="2"/>
  <c r="AB104" i="2"/>
  <c r="AE69" i="2"/>
  <c r="AF29" i="2"/>
  <c r="AC31" i="1"/>
  <c r="AD31" i="1"/>
  <c r="AE31" i="1" s="1"/>
  <c r="T38" i="2"/>
  <c r="M30" i="2"/>
  <c r="I70" i="2"/>
  <c r="W104" i="2"/>
  <c r="AD52" i="2" l="1"/>
  <c r="AC52" i="2"/>
  <c r="U38" i="2"/>
  <c r="AH104" i="2"/>
  <c r="AF31" i="1"/>
  <c r="AG31" i="1" s="1"/>
  <c r="J70" i="2"/>
  <c r="R39" i="2"/>
  <c r="N30" i="2"/>
  <c r="AC53" i="2" l="1"/>
  <c r="AE70" i="2"/>
  <c r="AG38" i="2"/>
  <c r="AH31" i="1"/>
  <c r="AJ31" i="1" s="1"/>
  <c r="AI31" i="1" s="1"/>
  <c r="S39" i="2"/>
  <c r="I71" i="2"/>
  <c r="O30" i="2"/>
  <c r="AD53" i="2" l="1"/>
  <c r="P30" i="2"/>
  <c r="AC32" i="1"/>
  <c r="AD32" i="1"/>
  <c r="AE32" i="1" s="1"/>
  <c r="AK31" i="1"/>
  <c r="J71" i="2"/>
  <c r="T39" i="2"/>
  <c r="L31" i="2"/>
  <c r="AC54" i="2" l="1"/>
  <c r="AE71" i="2"/>
  <c r="U39" i="2"/>
  <c r="AF30" i="2"/>
  <c r="AF32" i="1"/>
  <c r="AG32" i="1"/>
  <c r="R40" i="2"/>
  <c r="I72" i="2"/>
  <c r="M31" i="2"/>
  <c r="AD54" i="2" l="1"/>
  <c r="AG39" i="2"/>
  <c r="AH32" i="1"/>
  <c r="AK32" i="1" s="1"/>
  <c r="J72" i="2"/>
  <c r="N31" i="2"/>
  <c r="S40" i="2"/>
  <c r="AD55" i="2" l="1"/>
  <c r="AC55" i="2"/>
  <c r="AE72" i="2"/>
  <c r="AJ32" i="1"/>
  <c r="AI32" i="1" s="1"/>
  <c r="I73" i="2"/>
  <c r="T40" i="2"/>
  <c r="O31" i="2"/>
  <c r="AC56" i="2" l="1"/>
  <c r="U40" i="2"/>
  <c r="P31" i="2"/>
  <c r="AC33" i="1"/>
  <c r="AD33" i="1" s="1"/>
  <c r="J73" i="2"/>
  <c r="R41" i="2"/>
  <c r="L32" i="2"/>
  <c r="AD56" i="2" l="1"/>
  <c r="AE73" i="2"/>
  <c r="AG40" i="2"/>
  <c r="AF31" i="2"/>
  <c r="AE33" i="1"/>
  <c r="AF33" i="1"/>
  <c r="AG33" i="1" s="1"/>
  <c r="M32" i="2"/>
  <c r="I74" i="2"/>
  <c r="S41" i="2"/>
  <c r="AC57" i="2" l="1"/>
  <c r="AH33" i="1"/>
  <c r="AJ33" i="1" s="1"/>
  <c r="AI33" i="1" s="1"/>
  <c r="J74" i="2"/>
  <c r="N32" i="2"/>
  <c r="T41" i="2"/>
  <c r="AD57" i="2" l="1"/>
  <c r="AE74" i="2"/>
  <c r="U41" i="2"/>
  <c r="AC34" i="1"/>
  <c r="AD34" i="1"/>
  <c r="AE34" i="1" s="1"/>
  <c r="AK33" i="1"/>
  <c r="O32" i="2"/>
  <c r="R42" i="2"/>
  <c r="I75" i="2"/>
  <c r="AC58" i="2" l="1"/>
  <c r="P32" i="2"/>
  <c r="AG41" i="2"/>
  <c r="AF34" i="1"/>
  <c r="J75" i="2"/>
  <c r="S42" i="2"/>
  <c r="L33" i="2"/>
  <c r="AD58" i="2" l="1"/>
  <c r="AE75" i="2"/>
  <c r="AF32" i="2"/>
  <c r="AG34" i="1"/>
  <c r="AH34" i="1" s="1"/>
  <c r="M33" i="2"/>
  <c r="I76" i="2"/>
  <c r="T42" i="2"/>
  <c r="AC59" i="2" l="1"/>
  <c r="U42" i="2"/>
  <c r="AK34" i="1"/>
  <c r="AJ34" i="1"/>
  <c r="AI34" i="1" s="1"/>
  <c r="N33" i="2"/>
  <c r="J76" i="2"/>
  <c r="R43" i="2"/>
  <c r="AD59" i="2" l="1"/>
  <c r="AE76" i="2"/>
  <c r="AG42" i="2"/>
  <c r="AC35" i="1"/>
  <c r="AD35" i="1" s="1"/>
  <c r="AE35" i="1" s="1"/>
  <c r="AF35" i="1" s="1"/>
  <c r="S43" i="2"/>
  <c r="I77" i="2"/>
  <c r="O33" i="2"/>
  <c r="AC60" i="2" l="1"/>
  <c r="P33" i="2"/>
  <c r="AG35" i="1"/>
  <c r="AH35" i="1" s="1"/>
  <c r="AK35" i="1" s="1"/>
  <c r="L34" i="2"/>
  <c r="T43" i="2"/>
  <c r="J77" i="2"/>
  <c r="U43" i="2" l="1"/>
  <c r="AE77" i="2"/>
  <c r="AF33" i="2"/>
  <c r="AJ35" i="1"/>
  <c r="AI35" i="1" s="1"/>
  <c r="R44" i="2"/>
  <c r="M34" i="2"/>
  <c r="I78" i="2"/>
  <c r="AD60" i="2" l="1"/>
  <c r="AG43" i="2"/>
  <c r="S44" i="2"/>
  <c r="J78" i="2"/>
  <c r="N34" i="2"/>
  <c r="AC61" i="2" l="1"/>
  <c r="AE78" i="2"/>
  <c r="O34" i="2"/>
  <c r="I79" i="2"/>
  <c r="T44" i="2"/>
  <c r="AD61" i="2" l="1"/>
  <c r="U44" i="2"/>
  <c r="P34" i="2"/>
  <c r="J79" i="2"/>
  <c r="R45" i="2"/>
  <c r="L35" i="2"/>
  <c r="AC62" i="2" l="1"/>
  <c r="AE79" i="2"/>
  <c r="AF34" i="2"/>
  <c r="AG44" i="2"/>
  <c r="I80" i="2"/>
  <c r="S45" i="2"/>
  <c r="M35" i="2"/>
  <c r="AD62" i="2" l="1"/>
  <c r="J80" i="2"/>
  <c r="T45" i="2"/>
  <c r="N35" i="2"/>
  <c r="AC63" i="2" l="1"/>
  <c r="AE80" i="2"/>
  <c r="U45" i="2"/>
  <c r="I81" i="2"/>
  <c r="R46" i="2"/>
  <c r="O35" i="2"/>
  <c r="P35" i="2" l="1"/>
  <c r="AG45" i="2"/>
  <c r="S46" i="2"/>
  <c r="J81" i="2"/>
  <c r="L36" i="2"/>
  <c r="AD63" i="2" l="1"/>
  <c r="AE81" i="2"/>
  <c r="AF35" i="2"/>
  <c r="M36" i="2"/>
  <c r="I82" i="2"/>
  <c r="T46" i="2"/>
  <c r="AC64" i="2" l="1"/>
  <c r="U46" i="2"/>
  <c r="N36" i="2"/>
  <c r="J82" i="2"/>
  <c r="R47" i="2"/>
  <c r="AD64" i="2" l="1"/>
  <c r="AE82" i="2"/>
  <c r="AG46" i="2"/>
  <c r="O36" i="2"/>
  <c r="S47" i="2"/>
  <c r="I83" i="2"/>
  <c r="AC65" i="2" l="1"/>
  <c r="P36" i="2"/>
  <c r="L37" i="2"/>
  <c r="T47" i="2"/>
  <c r="J83" i="2"/>
  <c r="AD65" i="2" l="1"/>
  <c r="AE83" i="2"/>
  <c r="U47" i="2"/>
  <c r="AF36" i="2"/>
  <c r="M37" i="2"/>
  <c r="I84" i="2"/>
  <c r="R48" i="2"/>
  <c r="AC66" i="2" l="1"/>
  <c r="AG47" i="2"/>
  <c r="N37" i="2"/>
  <c r="J84" i="2"/>
  <c r="S48" i="2"/>
  <c r="AD66" i="2" l="1"/>
  <c r="AE84" i="2"/>
  <c r="I85" i="2"/>
  <c r="O37" i="2"/>
  <c r="T48" i="2"/>
  <c r="AD67" i="2" l="1"/>
  <c r="AC67" i="2"/>
  <c r="P37" i="2"/>
  <c r="U48" i="2"/>
  <c r="L38" i="2"/>
  <c r="J85" i="2"/>
  <c r="R49" i="2"/>
  <c r="AD68" i="2" l="1"/>
  <c r="AC68" i="2"/>
  <c r="AE85" i="2"/>
  <c r="AG48" i="2"/>
  <c r="AF37" i="2"/>
  <c r="M38" i="2"/>
  <c r="I86" i="2"/>
  <c r="S49" i="2"/>
  <c r="AC69" i="2" l="1"/>
  <c r="N38" i="2"/>
  <c r="J86" i="2"/>
  <c r="T49" i="2"/>
  <c r="AD69" i="2" l="1"/>
  <c r="U49" i="2"/>
  <c r="AE86" i="2"/>
  <c r="R50" i="2"/>
  <c r="O38" i="2"/>
  <c r="I87" i="2"/>
  <c r="AC70" i="2" l="1"/>
  <c r="P38" i="2"/>
  <c r="AG49" i="2"/>
  <c r="J87" i="2"/>
  <c r="S50" i="2"/>
  <c r="L39" i="2"/>
  <c r="AD70" i="2" l="1"/>
  <c r="AE87" i="2"/>
  <c r="AF38" i="2"/>
  <c r="I88" i="2"/>
  <c r="T50" i="2"/>
  <c r="M39" i="2"/>
  <c r="AC71" i="2" l="1"/>
  <c r="U50" i="2"/>
  <c r="N39" i="2"/>
  <c r="R51" i="2"/>
  <c r="J88" i="2"/>
  <c r="AE88" i="2" l="1"/>
  <c r="AD71" i="2"/>
  <c r="AG50" i="2"/>
  <c r="S51" i="2"/>
  <c r="I89" i="2"/>
  <c r="O39" i="2"/>
  <c r="P39" i="2" l="1"/>
  <c r="AC72" i="2"/>
  <c r="J89" i="2"/>
  <c r="T51" i="2"/>
  <c r="L40" i="2"/>
  <c r="U51" i="2" l="1"/>
  <c r="AE89" i="2"/>
  <c r="AF39" i="2"/>
  <c r="M40" i="2"/>
  <c r="I90" i="2"/>
  <c r="R52" i="2"/>
  <c r="AG51" i="2" l="1"/>
  <c r="S52" i="2"/>
  <c r="N40" i="2"/>
  <c r="J90" i="2"/>
  <c r="AD72" i="2" l="1"/>
  <c r="AE90" i="2"/>
  <c r="T52" i="2"/>
  <c r="O40" i="2"/>
  <c r="I91" i="2"/>
  <c r="AC73" i="2" l="1"/>
  <c r="P40" i="2"/>
  <c r="U52" i="2"/>
  <c r="R53" i="2"/>
  <c r="L41" i="2"/>
  <c r="J91" i="2"/>
  <c r="AD73" i="2" l="1"/>
  <c r="AE91" i="2"/>
  <c r="AG52" i="2"/>
  <c r="AF40" i="2"/>
  <c r="I92" i="2"/>
  <c r="S53" i="2"/>
  <c r="M41" i="2"/>
  <c r="AC74" i="2" l="1"/>
  <c r="J92" i="2"/>
  <c r="T53" i="2"/>
  <c r="N41" i="2"/>
  <c r="AE92" i="2" l="1"/>
  <c r="U53" i="2"/>
  <c r="AD74" i="2"/>
  <c r="R54" i="2"/>
  <c r="O41" i="2"/>
  <c r="I93" i="2"/>
  <c r="AC75" i="2" l="1"/>
  <c r="P41" i="2"/>
  <c r="AG53" i="2"/>
  <c r="S54" i="2"/>
  <c r="J93" i="2"/>
  <c r="L42" i="2"/>
  <c r="AE93" i="2" l="1"/>
  <c r="AF41" i="2"/>
  <c r="T54" i="2"/>
  <c r="I94" i="2"/>
  <c r="M42" i="2"/>
  <c r="U54" i="2" l="1"/>
  <c r="N42" i="2"/>
  <c r="R55" i="2"/>
  <c r="J94" i="2"/>
  <c r="AD75" i="2" l="1"/>
  <c r="AE94" i="2"/>
  <c r="AG54" i="2"/>
  <c r="S55" i="2"/>
  <c r="I95" i="2"/>
  <c r="O42" i="2"/>
  <c r="AC76" i="2" l="1"/>
  <c r="P42" i="2"/>
  <c r="T55" i="2"/>
  <c r="L43" i="2"/>
  <c r="J95" i="2"/>
  <c r="AE95" i="2" l="1"/>
  <c r="AD76" i="2"/>
  <c r="U55" i="2"/>
  <c r="AF42" i="2"/>
  <c r="I96" i="2"/>
  <c r="R56" i="2"/>
  <c r="M43" i="2"/>
  <c r="AC77" i="2" l="1"/>
  <c r="AG55" i="2"/>
  <c r="S56" i="2"/>
  <c r="N43" i="2"/>
  <c r="J96" i="2"/>
  <c r="AE96" i="2" l="1"/>
  <c r="O43" i="2"/>
  <c r="T56" i="2"/>
  <c r="I97" i="2"/>
  <c r="AD77" i="2" l="1"/>
  <c r="U56" i="2"/>
  <c r="P43" i="2"/>
  <c r="J97" i="2"/>
  <c r="R57" i="2"/>
  <c r="L44" i="2"/>
  <c r="AC78" i="2" l="1"/>
  <c r="AE97" i="2"/>
  <c r="AF43" i="2"/>
  <c r="AG56" i="2"/>
  <c r="S57" i="2"/>
  <c r="M44" i="2"/>
  <c r="I98" i="2"/>
  <c r="J98" i="2" s="1"/>
  <c r="AE98" i="2" l="1"/>
  <c r="N44" i="2"/>
  <c r="T57" i="2"/>
  <c r="I99" i="2"/>
  <c r="U57" i="2" l="1"/>
  <c r="AD78" i="2"/>
  <c r="AG57" i="2"/>
  <c r="J99" i="2"/>
  <c r="R58" i="2"/>
  <c r="O44" i="2"/>
  <c r="P44" i="2" l="1"/>
  <c r="AF44" i="2" s="1"/>
  <c r="AE99" i="2"/>
  <c r="AD79" i="2"/>
  <c r="AC79" i="2"/>
  <c r="L45" i="2"/>
  <c r="I100" i="2"/>
  <c r="S58" i="2"/>
  <c r="AC80" i="2" l="1"/>
  <c r="T58" i="2"/>
  <c r="M45" i="2"/>
  <c r="J100" i="2"/>
  <c r="AE100" i="2" l="1"/>
  <c r="U58" i="2"/>
  <c r="AG58" i="2" s="1"/>
  <c r="AD80" i="2"/>
  <c r="I101" i="2"/>
  <c r="R59" i="2"/>
  <c r="J101" i="2"/>
  <c r="N45" i="2"/>
  <c r="AE101" i="2" l="1"/>
  <c r="AC81" i="2"/>
  <c r="O45" i="2"/>
  <c r="S59" i="2"/>
  <c r="I102" i="2"/>
  <c r="J102" i="2" s="1"/>
  <c r="AE102" i="2" l="1"/>
  <c r="P45" i="2"/>
  <c r="I103" i="2"/>
  <c r="T59" i="2"/>
  <c r="J103" i="2"/>
  <c r="L46" i="2"/>
  <c r="AE103" i="2" l="1"/>
  <c r="U59" i="2"/>
  <c r="AG59" i="2" s="1"/>
  <c r="AF45" i="2"/>
  <c r="AD81" i="2"/>
  <c r="I104" i="2"/>
  <c r="R60" i="2"/>
  <c r="M46" i="2"/>
  <c r="AC82" i="2" l="1"/>
  <c r="N46" i="2"/>
  <c r="J104" i="2"/>
  <c r="S60" i="2"/>
  <c r="AE104" i="2" l="1"/>
  <c r="AD82" i="2"/>
  <c r="T60" i="2"/>
  <c r="O46" i="2"/>
  <c r="P46" i="2" l="1"/>
  <c r="AF46" i="2" s="1"/>
  <c r="U60" i="2"/>
  <c r="AC83" i="2"/>
  <c r="L47" i="2"/>
  <c r="R61" i="2"/>
  <c r="AG60" i="2" l="1"/>
  <c r="AD83" i="2"/>
  <c r="M47" i="2"/>
  <c r="S61" i="2"/>
  <c r="AD84" i="2" l="1"/>
  <c r="AC84" i="2"/>
  <c r="T61" i="2"/>
  <c r="N47" i="2"/>
  <c r="U61" i="2" l="1"/>
  <c r="AC85" i="2"/>
  <c r="AG61" i="2"/>
  <c r="O47" i="2"/>
  <c r="R62" i="2"/>
  <c r="P47" i="2" l="1"/>
  <c r="AF47" i="2" s="1"/>
  <c r="AD85" i="2"/>
  <c r="S62" i="2"/>
  <c r="L48" i="2"/>
  <c r="AC86" i="2" l="1"/>
  <c r="M48" i="2"/>
  <c r="T62" i="2"/>
  <c r="U62" i="2" l="1"/>
  <c r="AG62" i="2" s="1"/>
  <c r="AD86" i="2"/>
  <c r="R63" i="2"/>
  <c r="N48" i="2"/>
  <c r="AC87" i="2" l="1"/>
  <c r="O48" i="2"/>
  <c r="S63" i="2"/>
  <c r="P48" i="2" l="1"/>
  <c r="AD87" i="2"/>
  <c r="T63" i="2"/>
  <c r="L49" i="2"/>
  <c r="U63" i="2" l="1"/>
  <c r="AG63" i="2" s="1"/>
  <c r="AF48" i="2"/>
  <c r="AC88" i="2"/>
  <c r="M49" i="2"/>
  <c r="R64" i="2"/>
  <c r="AD88" i="2" l="1"/>
  <c r="S64" i="2"/>
  <c r="N49" i="2"/>
  <c r="AC89" i="2" l="1"/>
  <c r="O49" i="2"/>
  <c r="T64" i="2"/>
  <c r="U64" i="2" l="1"/>
  <c r="AG64" i="2" s="1"/>
  <c r="P49" i="2"/>
  <c r="AF49" i="2" s="1"/>
  <c r="R65" i="2"/>
  <c r="L50" i="2"/>
  <c r="AD89" i="2" l="1"/>
  <c r="M50" i="2"/>
  <c r="S65" i="2"/>
  <c r="AC90" i="2" l="1"/>
  <c r="T65" i="2"/>
  <c r="N50" i="2"/>
  <c r="U65" i="2" l="1"/>
  <c r="AD90" i="2"/>
  <c r="O50" i="2"/>
  <c r="R66" i="2"/>
  <c r="P50" i="2" l="1"/>
  <c r="AF50" i="2" s="1"/>
  <c r="AG65" i="2"/>
  <c r="AC91" i="2"/>
  <c r="S66" i="2"/>
  <c r="L51" i="2"/>
  <c r="AD91" i="2" l="1"/>
  <c r="M51" i="2"/>
  <c r="T66" i="2"/>
  <c r="U66" i="2" l="1"/>
  <c r="AG66" i="2" s="1"/>
  <c r="AD92" i="2"/>
  <c r="AC92" i="2"/>
  <c r="R67" i="2"/>
  <c r="N51" i="2"/>
  <c r="AC93" i="2" l="1"/>
  <c r="O51" i="2"/>
  <c r="S67" i="2"/>
  <c r="P51" i="2" l="1"/>
  <c r="T67" i="2"/>
  <c r="L52" i="2"/>
  <c r="U67" i="2" l="1"/>
  <c r="AG67" i="2" s="1"/>
  <c r="AF51" i="2"/>
  <c r="AD93" i="2"/>
  <c r="M52" i="2"/>
  <c r="R68" i="2"/>
  <c r="AC94" i="2" l="1"/>
  <c r="S68" i="2"/>
  <c r="N52" i="2"/>
  <c r="AD94" i="2" l="1"/>
  <c r="O52" i="2"/>
  <c r="T68" i="2"/>
  <c r="U68" i="2" l="1"/>
  <c r="P52" i="2"/>
  <c r="AD95" i="2"/>
  <c r="AC95" i="2"/>
  <c r="R69" i="2"/>
  <c r="L53" i="2"/>
  <c r="AF52" i="2" l="1"/>
  <c r="AG68" i="2"/>
  <c r="AC96" i="2"/>
  <c r="M53" i="2"/>
  <c r="S69" i="2"/>
  <c r="AD96" i="2" l="1"/>
  <c r="T69" i="2"/>
  <c r="N53" i="2"/>
  <c r="U69" i="2" l="1"/>
  <c r="AC97" i="2"/>
  <c r="O53" i="2"/>
  <c r="R70" i="2"/>
  <c r="P53" i="2" l="1"/>
  <c r="AG69" i="2"/>
  <c r="AD97" i="2"/>
  <c r="L54" i="2"/>
  <c r="S70" i="2"/>
  <c r="AF53" i="2" l="1"/>
  <c r="AD98" i="2"/>
  <c r="AC98" i="2"/>
  <c r="T70" i="2"/>
  <c r="M54" i="2"/>
  <c r="U70" i="2" l="1"/>
  <c r="AD99" i="2"/>
  <c r="AC99" i="2"/>
  <c r="N54" i="2"/>
  <c r="R71" i="2"/>
  <c r="AG70" i="2" l="1"/>
  <c r="AC100" i="2"/>
  <c r="O54" i="2"/>
  <c r="S71" i="2"/>
  <c r="P54" i="2" l="1"/>
  <c r="AD100" i="2"/>
  <c r="T71" i="2"/>
  <c r="L55" i="2"/>
  <c r="U71" i="2" l="1"/>
  <c r="AF54" i="2"/>
  <c r="AD101" i="2"/>
  <c r="AC101" i="2"/>
  <c r="R72" i="2"/>
  <c r="M55" i="2"/>
  <c r="AG71" i="2" l="1"/>
  <c r="AC102" i="2"/>
  <c r="N55" i="2"/>
  <c r="S72" i="2"/>
  <c r="AD102" i="2" l="1"/>
  <c r="T72" i="2"/>
  <c r="O55" i="2"/>
  <c r="P55" i="2" l="1"/>
  <c r="U72" i="2"/>
  <c r="AC103" i="2"/>
  <c r="L56" i="2"/>
  <c r="R73" i="2"/>
  <c r="AG72" i="2" l="1"/>
  <c r="AF55" i="2"/>
  <c r="AD103" i="2"/>
  <c r="S73" i="2"/>
  <c r="M56" i="2"/>
  <c r="AC104" i="2" l="1"/>
  <c r="N56" i="2"/>
  <c r="T73" i="2"/>
  <c r="U73" i="2" l="1"/>
  <c r="AD104" i="2"/>
  <c r="R74" i="2"/>
  <c r="O56" i="2"/>
  <c r="P56" i="2" l="1"/>
  <c r="AG73" i="2"/>
  <c r="L57" i="2"/>
  <c r="S74" i="2"/>
  <c r="AF56" i="2" l="1"/>
  <c r="T74" i="2"/>
  <c r="M57" i="2"/>
  <c r="U74" i="2" l="1"/>
  <c r="N57" i="2"/>
  <c r="R75" i="2"/>
  <c r="AG74" i="2" l="1"/>
  <c r="O57" i="2"/>
  <c r="S75" i="2"/>
  <c r="P57" i="2" l="1"/>
  <c r="T75" i="2"/>
  <c r="L58" i="2"/>
  <c r="U75" i="2" l="1"/>
  <c r="AF57" i="2"/>
  <c r="R76" i="2"/>
  <c r="M58" i="2"/>
  <c r="AG75" i="2" l="1"/>
  <c r="N58" i="2"/>
  <c r="S76" i="2"/>
  <c r="T76" i="2"/>
  <c r="O58" i="2"/>
  <c r="P58" i="2" l="1"/>
  <c r="U76" i="2"/>
  <c r="L59" i="2"/>
  <c r="R77" i="2"/>
  <c r="AG76" i="2" l="1"/>
  <c r="AF58" i="2"/>
  <c r="S77" i="2"/>
  <c r="M59" i="2"/>
  <c r="N59" i="2"/>
  <c r="T77" i="2"/>
  <c r="U77" i="2" l="1"/>
  <c r="R78" i="2"/>
  <c r="O59" i="2"/>
  <c r="P59" i="2" l="1"/>
  <c r="AG77" i="2"/>
  <c r="L60" i="2"/>
  <c r="S78" i="2"/>
  <c r="AF59" i="2" l="1"/>
  <c r="T78" i="2"/>
  <c r="M60" i="2"/>
  <c r="U78" i="2" l="1"/>
  <c r="N60" i="2"/>
  <c r="R79" i="2"/>
  <c r="AG78" i="2" l="1"/>
  <c r="O60" i="2"/>
  <c r="S79" i="2"/>
  <c r="P60" i="2" l="1"/>
  <c r="L61" i="2"/>
  <c r="T79" i="2"/>
  <c r="U79" i="2" l="1"/>
  <c r="AF60" i="2"/>
  <c r="M61" i="2"/>
  <c r="R80" i="2"/>
  <c r="AG79" i="2" l="1"/>
  <c r="N61" i="2"/>
  <c r="S80" i="2"/>
  <c r="T80" i="2"/>
  <c r="O61" i="2"/>
  <c r="P61" i="2" l="1"/>
  <c r="U80" i="2"/>
  <c r="R81" i="2"/>
  <c r="L62" i="2"/>
  <c r="AF61" i="2" l="1"/>
  <c r="AG80" i="2"/>
  <c r="M62" i="2"/>
  <c r="S81" i="2"/>
  <c r="N62" i="2"/>
  <c r="T81" i="2"/>
  <c r="U81" i="2" l="1"/>
  <c r="O62" i="2"/>
  <c r="R82" i="2"/>
  <c r="P62" i="2" l="1"/>
  <c r="AG81" i="2"/>
  <c r="L63" i="2"/>
  <c r="S82" i="2"/>
  <c r="AF62" i="2" l="1"/>
  <c r="M63" i="2"/>
  <c r="T82" i="2"/>
  <c r="U82" i="2" l="1"/>
  <c r="R83" i="2"/>
  <c r="N63" i="2"/>
  <c r="AG82" i="2" l="1"/>
  <c r="O63" i="2"/>
  <c r="S83" i="2"/>
  <c r="P63" i="2" l="1"/>
  <c r="T83" i="2"/>
  <c r="L64" i="2"/>
  <c r="U83" i="2" l="1"/>
  <c r="AF63" i="2"/>
  <c r="R84" i="2"/>
  <c r="M64" i="2"/>
  <c r="AG83" i="2" l="1"/>
  <c r="N64" i="2"/>
  <c r="S84" i="2"/>
  <c r="T84" i="2"/>
  <c r="O64" i="2"/>
  <c r="P64" i="2" l="1"/>
  <c r="U84" i="2"/>
  <c r="L65" i="2"/>
  <c r="R85" i="2"/>
  <c r="AG84" i="2" l="1"/>
  <c r="AF64" i="2"/>
  <c r="S85" i="2"/>
  <c r="M65" i="2"/>
  <c r="N65" i="2"/>
  <c r="T85" i="2"/>
  <c r="U85" i="2" l="1"/>
  <c r="R86" i="2"/>
  <c r="O65" i="2"/>
  <c r="P65" i="2" l="1"/>
  <c r="AG85" i="2"/>
  <c r="L66" i="2"/>
  <c r="S86" i="2"/>
  <c r="AF65" i="2" l="1"/>
  <c r="T86" i="2"/>
  <c r="M66" i="2"/>
  <c r="U86" i="2" l="1"/>
  <c r="N66" i="2"/>
  <c r="R87" i="2"/>
  <c r="AG86" i="2" l="1"/>
  <c r="O66" i="2"/>
  <c r="S87" i="2"/>
  <c r="P66" i="2" l="1"/>
  <c r="T87" i="2"/>
  <c r="L67" i="2"/>
  <c r="U87" i="2" l="1"/>
  <c r="AF66" i="2"/>
  <c r="R88" i="2"/>
  <c r="M67" i="2"/>
  <c r="AG87" i="2" l="1"/>
  <c r="N67" i="2"/>
  <c r="S88" i="2"/>
  <c r="T88" i="2"/>
  <c r="O67" i="2"/>
  <c r="P67" i="2" l="1"/>
  <c r="U88" i="2"/>
  <c r="L68" i="2"/>
  <c r="R89" i="2"/>
  <c r="AG88" i="2" l="1"/>
  <c r="AF67" i="2"/>
  <c r="S89" i="2"/>
  <c r="M68" i="2"/>
  <c r="N68" i="2"/>
  <c r="T89" i="2"/>
  <c r="U89" i="2" l="1"/>
  <c r="R90" i="2"/>
  <c r="O68" i="2"/>
  <c r="P68" i="2" l="1"/>
  <c r="AG89" i="2"/>
  <c r="L69" i="2"/>
  <c r="S90" i="2"/>
  <c r="AF68" i="2" l="1"/>
  <c r="T90" i="2"/>
  <c r="M69" i="2"/>
  <c r="U90" i="2" l="1"/>
  <c r="N69" i="2"/>
  <c r="R91" i="2"/>
  <c r="AG90" i="2" l="1"/>
  <c r="O69" i="2"/>
  <c r="S91" i="2"/>
  <c r="P69" i="2" l="1"/>
  <c r="T91" i="2"/>
  <c r="L70" i="2"/>
  <c r="U91" i="2" l="1"/>
  <c r="AF69" i="2"/>
  <c r="R92" i="2"/>
  <c r="M70" i="2"/>
  <c r="AG91" i="2" l="1"/>
  <c r="N70" i="2"/>
  <c r="S92" i="2"/>
  <c r="T92" i="2"/>
  <c r="O70" i="2"/>
  <c r="P70" i="2" l="1"/>
  <c r="U92" i="2"/>
  <c r="L71" i="2"/>
  <c r="R93" i="2"/>
  <c r="AG92" i="2" l="1"/>
  <c r="AF70" i="2"/>
  <c r="S93" i="2"/>
  <c r="M71" i="2"/>
  <c r="N71" i="2"/>
  <c r="T93" i="2"/>
  <c r="U93" i="2" l="1"/>
  <c r="R94" i="2"/>
  <c r="O71" i="2"/>
  <c r="P71" i="2" l="1"/>
  <c r="AG93" i="2"/>
  <c r="L72" i="2"/>
  <c r="S94" i="2"/>
  <c r="AF71" i="2" l="1"/>
  <c r="T94" i="2"/>
  <c r="M72" i="2"/>
  <c r="U94" i="2" l="1"/>
  <c r="N72" i="2"/>
  <c r="R95" i="2"/>
  <c r="AG94" i="2" l="1"/>
  <c r="O72" i="2"/>
  <c r="S95" i="2"/>
  <c r="P72" i="2" l="1"/>
  <c r="T95" i="2"/>
  <c r="L73" i="2"/>
  <c r="U95" i="2" l="1"/>
  <c r="AF72" i="2"/>
  <c r="R96" i="2"/>
  <c r="M73" i="2"/>
  <c r="AG95" i="2" l="1"/>
  <c r="N73" i="2"/>
  <c r="S96" i="2"/>
  <c r="T96" i="2"/>
  <c r="O73" i="2"/>
  <c r="P73" i="2" l="1"/>
  <c r="U96" i="2"/>
  <c r="L74" i="2"/>
  <c r="R97" i="2"/>
  <c r="AG96" i="2" l="1"/>
  <c r="AF73" i="2"/>
  <c r="S97" i="2"/>
  <c r="M74" i="2"/>
  <c r="N74" i="2"/>
  <c r="T97" i="2"/>
  <c r="U97" i="2" l="1"/>
  <c r="R98" i="2"/>
  <c r="O74" i="2"/>
  <c r="P74" i="2" l="1"/>
  <c r="AG97" i="2"/>
  <c r="L75" i="2"/>
  <c r="S98" i="2"/>
  <c r="AF74" i="2" l="1"/>
  <c r="T98" i="2"/>
  <c r="M75" i="2"/>
  <c r="U98" i="2" l="1"/>
  <c r="N75" i="2"/>
  <c r="R99" i="2"/>
  <c r="AG98" i="2" l="1"/>
  <c r="O75" i="2"/>
  <c r="S99" i="2"/>
  <c r="P75" i="2" l="1"/>
  <c r="T99" i="2"/>
  <c r="L76" i="2"/>
  <c r="U99" i="2" l="1"/>
  <c r="AF75" i="2"/>
  <c r="R100" i="2"/>
  <c r="M76" i="2"/>
  <c r="AG99" i="2" l="1"/>
  <c r="N76" i="2"/>
  <c r="S100" i="2"/>
  <c r="T100" i="2"/>
  <c r="O76" i="2"/>
  <c r="P76" i="2" l="1"/>
  <c r="U100" i="2"/>
  <c r="L77" i="2"/>
  <c r="R101" i="2"/>
  <c r="AG100" i="2" l="1"/>
  <c r="AF76" i="2"/>
  <c r="S101" i="2"/>
  <c r="M77" i="2"/>
  <c r="N77" i="2"/>
  <c r="T101" i="2"/>
  <c r="U101" i="2" l="1"/>
  <c r="R102" i="2"/>
  <c r="O77" i="2"/>
  <c r="P77" i="2" l="1"/>
  <c r="AG101" i="2"/>
  <c r="L78" i="2"/>
  <c r="S102" i="2"/>
  <c r="AF77" i="2" l="1"/>
  <c r="T102" i="2"/>
  <c r="M78" i="2"/>
  <c r="U102" i="2" l="1"/>
  <c r="N78" i="2"/>
  <c r="R103" i="2"/>
  <c r="AG102" i="2" l="1"/>
  <c r="O78" i="2"/>
  <c r="S103" i="2"/>
  <c r="P78" i="2" l="1"/>
  <c r="T103" i="2"/>
  <c r="L79" i="2"/>
  <c r="U103" i="2" l="1"/>
  <c r="AF78" i="2"/>
  <c r="R104" i="2"/>
  <c r="M79" i="2"/>
  <c r="AG103" i="2" l="1"/>
  <c r="N79" i="2"/>
  <c r="S104" i="2"/>
  <c r="T104" i="2"/>
  <c r="O79" i="2"/>
  <c r="P79" i="2" l="1"/>
  <c r="U104" i="2"/>
  <c r="AG104" i="2" s="1"/>
  <c r="L80" i="2"/>
  <c r="AF79" i="2" l="1"/>
  <c r="M80" i="2"/>
  <c r="N80" i="2"/>
  <c r="O80" i="2"/>
  <c r="P80" i="2" l="1"/>
  <c r="L81" i="2"/>
  <c r="AF80" i="2" l="1"/>
  <c r="M81" i="2"/>
  <c r="N81" i="2"/>
  <c r="O81" i="2"/>
  <c r="P81" i="2" l="1"/>
  <c r="L82" i="2"/>
  <c r="AF81" i="2" l="1"/>
  <c r="M82" i="2"/>
  <c r="N82" i="2"/>
  <c r="O82" i="2"/>
  <c r="P82" i="2" l="1"/>
  <c r="L83" i="2"/>
  <c r="AF82" i="2" l="1"/>
  <c r="M83" i="2"/>
  <c r="N83" i="2"/>
  <c r="O83" i="2"/>
  <c r="P83" i="2" l="1"/>
  <c r="L84" i="2"/>
  <c r="AF83" i="2" l="1"/>
  <c r="M84" i="2"/>
  <c r="N84" i="2"/>
  <c r="O84" i="2"/>
  <c r="P84" i="2" l="1"/>
  <c r="L85" i="2"/>
  <c r="AF84" i="2" l="1"/>
  <c r="M85" i="2"/>
  <c r="N85" i="2"/>
  <c r="O85" i="2"/>
  <c r="P85" i="2" l="1"/>
  <c r="L86" i="2"/>
  <c r="AF85" i="2" l="1"/>
  <c r="M86" i="2"/>
  <c r="N86" i="2"/>
  <c r="O86" i="2"/>
  <c r="P86" i="2" l="1"/>
  <c r="L87" i="2"/>
  <c r="AF86" i="2" l="1"/>
  <c r="M87" i="2"/>
  <c r="N87" i="2"/>
  <c r="O87" i="2"/>
  <c r="P87" i="2" l="1"/>
  <c r="L88" i="2"/>
  <c r="AF87" i="2" l="1"/>
  <c r="M88" i="2"/>
  <c r="N88" i="2"/>
  <c r="O88" i="2"/>
  <c r="P88" i="2" l="1"/>
  <c r="L89" i="2"/>
  <c r="AF88" i="2" l="1"/>
  <c r="M89" i="2"/>
  <c r="N89" i="2"/>
  <c r="O89" i="2"/>
  <c r="P89" i="2" l="1"/>
  <c r="L90" i="2"/>
  <c r="AF89" i="2" l="1"/>
  <c r="M90" i="2"/>
  <c r="N90" i="2"/>
  <c r="O90" i="2"/>
  <c r="P90" i="2" l="1"/>
  <c r="L91" i="2"/>
  <c r="AF90" i="2" l="1"/>
  <c r="M91" i="2"/>
  <c r="N91" i="2"/>
  <c r="O91" i="2"/>
  <c r="P91" i="2" l="1"/>
  <c r="L92" i="2"/>
  <c r="AF91" i="2" l="1"/>
  <c r="M92" i="2"/>
  <c r="N92" i="2"/>
  <c r="O92" i="2"/>
  <c r="P92" i="2" l="1"/>
  <c r="L93" i="2"/>
  <c r="AF92" i="2" l="1"/>
  <c r="M93" i="2"/>
  <c r="N93" i="2"/>
  <c r="O93" i="2"/>
  <c r="P93" i="2" l="1"/>
  <c r="L94" i="2"/>
  <c r="AF93" i="2" l="1"/>
  <c r="M94" i="2"/>
  <c r="N94" i="2"/>
  <c r="O94" i="2"/>
  <c r="P94" i="2" l="1"/>
  <c r="L95" i="2"/>
  <c r="AF94" i="2" l="1"/>
  <c r="M95" i="2"/>
  <c r="N95" i="2"/>
  <c r="O95" i="2"/>
  <c r="P95" i="2" l="1"/>
  <c r="L96" i="2"/>
  <c r="AF95" i="2" l="1"/>
  <c r="M96" i="2"/>
  <c r="N96" i="2"/>
  <c r="O96" i="2"/>
  <c r="P96" i="2" l="1"/>
  <c r="L97" i="2"/>
  <c r="AF96" i="2" l="1"/>
  <c r="M97" i="2"/>
  <c r="N97" i="2"/>
  <c r="O97" i="2"/>
  <c r="P97" i="2" l="1"/>
  <c r="L98" i="2"/>
  <c r="AF97" i="2" l="1"/>
  <c r="M98" i="2"/>
  <c r="N98" i="2"/>
  <c r="O98" i="2"/>
  <c r="P98" i="2" l="1"/>
  <c r="L99" i="2"/>
  <c r="AF98" i="2" l="1"/>
  <c r="M99" i="2"/>
  <c r="N99" i="2"/>
  <c r="O99" i="2"/>
  <c r="P99" i="2" l="1"/>
  <c r="L100" i="2"/>
  <c r="AF99" i="2" l="1"/>
  <c r="M100" i="2"/>
  <c r="N100" i="2"/>
  <c r="O100" i="2"/>
  <c r="P100" i="2" l="1"/>
  <c r="L101" i="2"/>
  <c r="AF100" i="2" l="1"/>
  <c r="M101" i="2"/>
  <c r="N101" i="2"/>
  <c r="O101" i="2"/>
  <c r="P101" i="2" l="1"/>
  <c r="L102" i="2"/>
  <c r="AF101" i="2" l="1"/>
  <c r="M102" i="2"/>
  <c r="N102" i="2"/>
  <c r="O102" i="2"/>
  <c r="P102" i="2" l="1"/>
  <c r="L103" i="2"/>
  <c r="AF102" i="2" l="1"/>
  <c r="M103" i="2"/>
  <c r="N103" i="2"/>
  <c r="O103" i="2"/>
  <c r="P103" i="2" l="1"/>
  <c r="L104" i="2"/>
  <c r="AF103" i="2" l="1"/>
  <c r="M104" i="2"/>
  <c r="N104" i="2"/>
  <c r="O104" i="2"/>
  <c r="P104" i="2" l="1"/>
  <c r="AF104" i="2" s="1"/>
</calcChain>
</file>

<file path=xl/sharedStrings.xml><?xml version="1.0" encoding="utf-8"?>
<sst xmlns="http://schemas.openxmlformats.org/spreadsheetml/2006/main" count="65" uniqueCount="23">
  <si>
    <t>exact</t>
  </si>
  <si>
    <t>euler, fwd</t>
  </si>
  <si>
    <t>euler, backward</t>
  </si>
  <si>
    <t>k1</t>
  </si>
  <si>
    <t>k2</t>
  </si>
  <si>
    <t>k3</t>
  </si>
  <si>
    <t>k4</t>
  </si>
  <si>
    <t>k5</t>
  </si>
  <si>
    <t>fehlberg</t>
  </si>
  <si>
    <t>k6</t>
  </si>
  <si>
    <t>dt</t>
  </si>
  <si>
    <t>5th</t>
  </si>
  <si>
    <t>4th</t>
  </si>
  <si>
    <t>trapezoidal, impl</t>
  </si>
  <si>
    <t>predictor</t>
  </si>
  <si>
    <t>corrector</t>
  </si>
  <si>
    <t>trapezoidal, expl</t>
  </si>
  <si>
    <t>RK4</t>
  </si>
  <si>
    <t>RK3</t>
  </si>
  <si>
    <t>Adams-Bashforth</t>
  </si>
  <si>
    <t>time</t>
  </si>
  <si>
    <t>time, s</t>
  </si>
  <si>
    <t>iter1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</si>
</sst>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prob3!$AB$3</c:f>
              <c:strCache>
                <c:ptCount val="1"/>
                <c:pt idx="0">
                  <c:v>euler, fwd</c:v>
                </c:pt>
              </c:strCache>
            </c:strRef>
          </c:tx>
          <c:spPr>
            <a:ln w="28575">
              <a:noFill/>
            </a:ln>
          </c:spPr>
          <c:xVal>
            <c:numRef>
              <c:f>prob3!$AA$4:$AA$104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xVal>
          <c:yVal>
            <c:numRef>
              <c:f>prob3!$AB$4:$AB$104</c:f>
              <c:numCache>
                <c:formatCode>General</c:formatCode>
                <c:ptCount val="101"/>
                <c:pt idx="0">
                  <c:v>0.1</c:v>
                </c:pt>
                <c:pt idx="1">
                  <c:v>0.13</c:v>
                </c:pt>
                <c:pt idx="2">
                  <c:v>0.154</c:v>
                </c:pt>
                <c:pt idx="3">
                  <c:v>0.17319999999999999</c:v>
                </c:pt>
                <c:pt idx="4">
                  <c:v>0.18856000000000001</c:v>
                </c:pt>
                <c:pt idx="5">
                  <c:v>0.200848</c:v>
                </c:pt>
                <c:pt idx="6">
                  <c:v>0.21067839999999999</c:v>
                </c:pt>
                <c:pt idx="7">
                  <c:v>0.21854272</c:v>
                </c:pt>
                <c:pt idx="8">
                  <c:v>0.224834176</c:v>
                </c:pt>
                <c:pt idx="9">
                  <c:v>0.22986734079999999</c:v>
                </c:pt>
                <c:pt idx="10">
                  <c:v>0.23389387264</c:v>
                </c:pt>
                <c:pt idx="11">
                  <c:v>0.23711509811199999</c:v>
                </c:pt>
                <c:pt idx="12">
                  <c:v>0.2396920784896</c:v>
                </c:pt>
                <c:pt idx="13">
                  <c:v>0.24175366279168001</c:v>
                </c:pt>
                <c:pt idx="14">
                  <c:v>0.243402930233344</c:v>
                </c:pt>
                <c:pt idx="15">
                  <c:v>0.24472234418667521</c:v>
                </c:pt>
                <c:pt idx="16">
                  <c:v>0.24577787534934017</c:v>
                </c:pt>
                <c:pt idx="17">
                  <c:v>0.24662230027947213</c:v>
                </c:pt>
                <c:pt idx="18">
                  <c:v>0.2472978402235777</c:v>
                </c:pt>
                <c:pt idx="19">
                  <c:v>0.24783827217886217</c:v>
                </c:pt>
                <c:pt idx="20">
                  <c:v>0.24827061774308973</c:v>
                </c:pt>
                <c:pt idx="21">
                  <c:v>0.24861649419447179</c:v>
                </c:pt>
                <c:pt idx="22">
                  <c:v>0.24889319535557744</c:v>
                </c:pt>
                <c:pt idx="23">
                  <c:v>0.24911455628446194</c:v>
                </c:pt>
                <c:pt idx="24">
                  <c:v>0.24929164502756956</c:v>
                </c:pt>
                <c:pt idx="25">
                  <c:v>0.24943331602205565</c:v>
                </c:pt>
                <c:pt idx="26">
                  <c:v>0.24954665281764452</c:v>
                </c:pt>
                <c:pt idx="27">
                  <c:v>0.24963732225411561</c:v>
                </c:pt>
                <c:pt idx="28">
                  <c:v>0.2497098578032925</c:v>
                </c:pt>
                <c:pt idx="29">
                  <c:v>0.24976788624263399</c:v>
                </c:pt>
                <c:pt idx="30">
                  <c:v>0.2498143089941072</c:v>
                </c:pt>
                <c:pt idx="31">
                  <c:v>0.24985144719528576</c:v>
                </c:pt>
                <c:pt idx="32">
                  <c:v>0.2498811577562286</c:v>
                </c:pt>
                <c:pt idx="33">
                  <c:v>0.24990492620498289</c:v>
                </c:pt>
                <c:pt idx="34">
                  <c:v>0.24992394096398632</c:v>
                </c:pt>
                <c:pt idx="35">
                  <c:v>0.24993915277118905</c:v>
                </c:pt>
                <c:pt idx="36">
                  <c:v>0.24995132221695124</c:v>
                </c:pt>
                <c:pt idx="37">
                  <c:v>0.24996105777356098</c:v>
                </c:pt>
                <c:pt idx="38">
                  <c:v>0.24996884621884879</c:v>
                </c:pt>
                <c:pt idx="39">
                  <c:v>0.24997507697507904</c:v>
                </c:pt>
                <c:pt idx="40">
                  <c:v>0.24998006158006322</c:v>
                </c:pt>
                <c:pt idx="41">
                  <c:v>0.24998404926405057</c:v>
                </c:pt>
                <c:pt idx="42">
                  <c:v>0.24998723941124046</c:v>
                </c:pt>
                <c:pt idx="43">
                  <c:v>0.24998979152899237</c:v>
                </c:pt>
                <c:pt idx="44">
                  <c:v>0.2499918332231939</c:v>
                </c:pt>
                <c:pt idx="45">
                  <c:v>0.24999346657855512</c:v>
                </c:pt>
                <c:pt idx="46">
                  <c:v>0.24999477326284408</c:v>
                </c:pt>
                <c:pt idx="47">
                  <c:v>0.24999581861027526</c:v>
                </c:pt>
                <c:pt idx="48">
                  <c:v>0.2499966548882202</c:v>
                </c:pt>
                <c:pt idx="49">
                  <c:v>0.24999732391057616</c:v>
                </c:pt>
                <c:pt idx="50">
                  <c:v>0.24999785912846093</c:v>
                </c:pt>
                <c:pt idx="51">
                  <c:v>0.19999828730276892</c:v>
                </c:pt>
                <c:pt idx="52">
                  <c:v>0.15999862984221527</c:v>
                </c:pt>
                <c:pt idx="53">
                  <c:v>0.12799890387377233</c:v>
                </c:pt>
                <c:pt idx="54">
                  <c:v>0.10239912309901796</c:v>
                </c:pt>
                <c:pt idx="55">
                  <c:v>8.1919298479214434E-2</c:v>
                </c:pt>
                <c:pt idx="56">
                  <c:v>6.5535438783371605E-2</c:v>
                </c:pt>
                <c:pt idx="57">
                  <c:v>5.242835102669733E-2</c:v>
                </c:pt>
                <c:pt idx="58">
                  <c:v>4.1942680821357901E-2</c:v>
                </c:pt>
                <c:pt idx="59">
                  <c:v>3.3554144657086352E-2</c:v>
                </c:pt>
                <c:pt idx="60">
                  <c:v>2.6843315725669104E-2</c:v>
                </c:pt>
                <c:pt idx="61">
                  <c:v>2.1474652580535304E-2</c:v>
                </c:pt>
                <c:pt idx="62">
                  <c:v>1.7179722064428259E-2</c:v>
                </c:pt>
                <c:pt idx="63">
                  <c:v>1.3743777651542621E-2</c:v>
                </c:pt>
                <c:pt idx="64">
                  <c:v>1.0995022121234106E-2</c:v>
                </c:pt>
                <c:pt idx="65">
                  <c:v>8.7960176969872923E-3</c:v>
                </c:pt>
                <c:pt idx="66">
                  <c:v>7.0368141575898402E-3</c:v>
                </c:pt>
                <c:pt idx="67">
                  <c:v>5.6294513260718767E-3</c:v>
                </c:pt>
                <c:pt idx="68">
                  <c:v>4.5035610608575053E-3</c:v>
                </c:pt>
                <c:pt idx="69">
                  <c:v>3.6028488486860074E-3</c:v>
                </c:pt>
                <c:pt idx="70">
                  <c:v>2.8822790789488086E-3</c:v>
                </c:pt>
                <c:pt idx="71">
                  <c:v>2.3058232631590491E-3</c:v>
                </c:pt>
                <c:pt idx="72">
                  <c:v>1.8446586105272408E-3</c:v>
                </c:pt>
                <c:pt idx="73">
                  <c:v>1.4757268884217939E-3</c:v>
                </c:pt>
                <c:pt idx="74">
                  <c:v>1.1805815107374363E-3</c:v>
                </c:pt>
                <c:pt idx="75">
                  <c:v>9.444652085899498E-4</c:v>
                </c:pt>
                <c:pt idx="76">
                  <c:v>7.5557216687196051E-4</c:v>
                </c:pt>
                <c:pt idx="77">
                  <c:v>6.0445773349756897E-4</c:v>
                </c:pt>
                <c:pt idx="78">
                  <c:v>4.8356618679805559E-4</c:v>
                </c:pt>
                <c:pt idx="79">
                  <c:v>3.8685294943844483E-4</c:v>
                </c:pt>
                <c:pt idx="80">
                  <c:v>3.0948235955075617E-4</c:v>
                </c:pt>
                <c:pt idx="81">
                  <c:v>2.4758588764060515E-4</c:v>
                </c:pt>
                <c:pt idx="82">
                  <c:v>1.9806871011248431E-4</c:v>
                </c:pt>
                <c:pt idx="83">
                  <c:v>1.5845496808998758E-4</c:v>
                </c:pt>
                <c:pt idx="84">
                  <c:v>1.2676397447199017E-4</c:v>
                </c:pt>
                <c:pt idx="85">
                  <c:v>1.0141117957759223E-4</c:v>
                </c:pt>
                <c:pt idx="86">
                  <c:v>8.1128943662073856E-5</c:v>
                </c:pt>
                <c:pt idx="87">
                  <c:v>6.4903154929659148E-5</c:v>
                </c:pt>
                <c:pt idx="88">
                  <c:v>5.1922523943727361E-5</c:v>
                </c:pt>
                <c:pt idx="89">
                  <c:v>4.153801915498193E-5</c:v>
                </c:pt>
                <c:pt idx="90">
                  <c:v>3.3230415323985576E-5</c:v>
                </c:pt>
                <c:pt idx="91">
                  <c:v>2.6584332259188483E-5</c:v>
                </c:pt>
                <c:pt idx="92">
                  <c:v>2.1267465807350806E-5</c:v>
                </c:pt>
                <c:pt idx="93">
                  <c:v>1.7013972645880661E-5</c:v>
                </c:pt>
                <c:pt idx="94">
                  <c:v>1.3611178116704541E-5</c:v>
                </c:pt>
                <c:pt idx="95">
                  <c:v>1.0888942493363642E-5</c:v>
                </c:pt>
                <c:pt idx="96">
                  <c:v>8.7111539946909209E-6</c:v>
                </c:pt>
                <c:pt idx="97">
                  <c:v>6.9689231957527428E-6</c:v>
                </c:pt>
                <c:pt idx="98">
                  <c:v>5.5751385566021997E-6</c:v>
                </c:pt>
                <c:pt idx="99">
                  <c:v>4.460110845281764E-6</c:v>
                </c:pt>
                <c:pt idx="100">
                  <c:v>3.5680886762254143E-6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prob3!$AC$3</c:f>
              <c:strCache>
                <c:ptCount val="1"/>
                <c:pt idx="0">
                  <c:v>euler, backward</c:v>
                </c:pt>
              </c:strCache>
            </c:strRef>
          </c:tx>
          <c:spPr>
            <a:ln w="28575">
              <a:noFill/>
            </a:ln>
          </c:spPr>
          <c:xVal>
            <c:numRef>
              <c:f>prob3!$AA$4:$AA$104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xVal>
          <c:yVal>
            <c:numRef>
              <c:f>prob3!$AC$4:$AC$104</c:f>
              <c:numCache>
                <c:formatCode>General</c:formatCode>
                <c:ptCount val="101"/>
                <c:pt idx="0">
                  <c:v>0.1</c:v>
                </c:pt>
                <c:pt idx="1">
                  <c:v>0.12500000000000003</c:v>
                </c:pt>
                <c:pt idx="2">
                  <c:v>0.14583333333333337</c:v>
                </c:pt>
                <c:pt idx="3">
                  <c:v>0.16319444444444448</c:v>
                </c:pt>
                <c:pt idx="4">
                  <c:v>0.17766203703703706</c:v>
                </c:pt>
                <c:pt idx="5">
                  <c:v>0.18971836419753088</c:v>
                </c:pt>
                <c:pt idx="6">
                  <c:v>0.19976530349794239</c:v>
                </c:pt>
                <c:pt idx="7">
                  <c:v>0.20813775291495198</c:v>
                </c:pt>
                <c:pt idx="8">
                  <c:v>0.21511479409579334</c:v>
                </c:pt>
                <c:pt idx="9">
                  <c:v>0.22092899507982777</c:v>
                </c:pt>
                <c:pt idx="10">
                  <c:v>0.22577416256652313</c:v>
                </c:pt>
                <c:pt idx="11">
                  <c:v>0.22981180213876926</c:v>
                </c:pt>
                <c:pt idx="12">
                  <c:v>0.23317650178230773</c:v>
                </c:pt>
                <c:pt idx="13">
                  <c:v>0.23598041815192314</c:v>
                </c:pt>
                <c:pt idx="14">
                  <c:v>0.23831701512660264</c:v>
                </c:pt>
                <c:pt idx="15">
                  <c:v>0.24026417927216887</c:v>
                </c:pt>
                <c:pt idx="16">
                  <c:v>0.24188681606014073</c:v>
                </c:pt>
                <c:pt idx="17">
                  <c:v>0.24323901338345061</c:v>
                </c:pt>
                <c:pt idx="18">
                  <c:v>0.24436584448620885</c:v>
                </c:pt>
                <c:pt idx="19">
                  <c:v>0.24530487040517404</c:v>
                </c:pt>
                <c:pt idx="20">
                  <c:v>0.24608739200431168</c:v>
                </c:pt>
                <c:pt idx="21">
                  <c:v>0.24673949333692641</c:v>
                </c:pt>
                <c:pt idx="22">
                  <c:v>0.24728291111410533</c:v>
                </c:pt>
                <c:pt idx="23">
                  <c:v>0.24773575926175445</c:v>
                </c:pt>
                <c:pt idx="24">
                  <c:v>0.24811313271812871</c:v>
                </c:pt>
                <c:pt idx="25">
                  <c:v>0.24842761059844062</c:v>
                </c:pt>
                <c:pt idx="26">
                  <c:v>0.24868967549870055</c:v>
                </c:pt>
                <c:pt idx="27">
                  <c:v>0.24890806291558382</c:v>
                </c:pt>
                <c:pt idx="28">
                  <c:v>0.24909005242965318</c:v>
                </c:pt>
                <c:pt idx="29">
                  <c:v>0.24924171035804435</c:v>
                </c:pt>
                <c:pt idx="30">
                  <c:v>0.24936809196503693</c:v>
                </c:pt>
                <c:pt idx="31">
                  <c:v>0.24947340997086412</c:v>
                </c:pt>
                <c:pt idx="32">
                  <c:v>0.24956117497572008</c:v>
                </c:pt>
                <c:pt idx="33">
                  <c:v>0.24963431247976672</c:v>
                </c:pt>
                <c:pt idx="34">
                  <c:v>0.24969526039980564</c:v>
                </c:pt>
                <c:pt idx="35">
                  <c:v>0.24974605033317135</c:v>
                </c:pt>
                <c:pt idx="36">
                  <c:v>0.24978837527764278</c:v>
                </c:pt>
                <c:pt idx="37">
                  <c:v>0.24982364606470228</c:v>
                </c:pt>
                <c:pt idx="38">
                  <c:v>0.24985303838725192</c:v>
                </c:pt>
                <c:pt idx="39">
                  <c:v>0.24987753198937659</c:v>
                </c:pt>
                <c:pt idx="40">
                  <c:v>0.24989794332448048</c:v>
                </c:pt>
                <c:pt idx="41">
                  <c:v>0.24991495277040038</c:v>
                </c:pt>
                <c:pt idx="42">
                  <c:v>0.24992912730866698</c:v>
                </c:pt>
                <c:pt idx="43">
                  <c:v>0.24994093942388917</c:v>
                </c:pt>
                <c:pt idx="44">
                  <c:v>0.24995078285324099</c:v>
                </c:pt>
                <c:pt idx="45">
                  <c:v>0.24995898571103417</c:v>
                </c:pt>
                <c:pt idx="46">
                  <c:v>0.24996582142586179</c:v>
                </c:pt>
                <c:pt idx="47">
                  <c:v>0.24997151785488481</c:v>
                </c:pt>
                <c:pt idx="48">
                  <c:v>0.24997626487907068</c:v>
                </c:pt>
                <c:pt idx="49">
                  <c:v>0.24998022073255888</c:v>
                </c:pt>
                <c:pt idx="50">
                  <c:v>0.20831685061046584</c:v>
                </c:pt>
                <c:pt idx="51">
                  <c:v>0.17359737550872165</c:v>
                </c:pt>
                <c:pt idx="52">
                  <c:v>0.14466447959060147</c:v>
                </c:pt>
                <c:pt idx="53">
                  <c:v>0.12055373299216796</c:v>
                </c:pt>
                <c:pt idx="54">
                  <c:v>0.10046144416014002</c:v>
                </c:pt>
                <c:pt idx="55">
                  <c:v>8.371787013345007E-2</c:v>
                </c:pt>
                <c:pt idx="56">
                  <c:v>6.9764891777875093E-2</c:v>
                </c:pt>
                <c:pt idx="57">
                  <c:v>5.8137409814895943E-2</c:v>
                </c:pt>
                <c:pt idx="58">
                  <c:v>4.8447841512413312E-2</c:v>
                </c:pt>
                <c:pt idx="59">
                  <c:v>4.0373201260344452E-2</c:v>
                </c:pt>
                <c:pt idx="60">
                  <c:v>3.3644334383620397E-2</c:v>
                </c:pt>
                <c:pt idx="61">
                  <c:v>2.8036945319683679E-2</c:v>
                </c:pt>
                <c:pt idx="62">
                  <c:v>2.3364121099736412E-2</c:v>
                </c:pt>
                <c:pt idx="63">
                  <c:v>1.947010091644702E-2</c:v>
                </c:pt>
                <c:pt idx="64">
                  <c:v>1.6225084097039193E-2</c:v>
                </c:pt>
                <c:pt idx="65">
                  <c:v>1.3520903414199335E-2</c:v>
                </c:pt>
                <c:pt idx="66">
                  <c:v>1.1267419511832787E-2</c:v>
                </c:pt>
                <c:pt idx="67">
                  <c:v>9.3895162598606613E-3</c:v>
                </c:pt>
                <c:pt idx="68">
                  <c:v>7.824596883217223E-3</c:v>
                </c:pt>
                <c:pt idx="69">
                  <c:v>6.5204974026810232E-3</c:v>
                </c:pt>
                <c:pt idx="70">
                  <c:v>5.4337478355675223E-3</c:v>
                </c:pt>
                <c:pt idx="71">
                  <c:v>4.5281231963062709E-3</c:v>
                </c:pt>
                <c:pt idx="72">
                  <c:v>3.7734359969218948E-3</c:v>
                </c:pt>
                <c:pt idx="73">
                  <c:v>3.1445299974349143E-3</c:v>
                </c:pt>
                <c:pt idx="74">
                  <c:v>2.6204416645290969E-3</c:v>
                </c:pt>
                <c:pt idx="75">
                  <c:v>2.1837013871075822E-3</c:v>
                </c:pt>
                <c:pt idx="76">
                  <c:v>1.8197511559229862E-3</c:v>
                </c:pt>
                <c:pt idx="77">
                  <c:v>1.5164592966024895E-3</c:v>
                </c:pt>
                <c:pt idx="78">
                  <c:v>1.2637160805020753E-3</c:v>
                </c:pt>
                <c:pt idx="79">
                  <c:v>1.0530967337517301E-3</c:v>
                </c:pt>
                <c:pt idx="80">
                  <c:v>8.7758061145977559E-4</c:v>
                </c:pt>
                <c:pt idx="81">
                  <c:v>7.3131717621648009E-4</c:v>
                </c:pt>
                <c:pt idx="82">
                  <c:v>6.0943098018040038E-4</c:v>
                </c:pt>
                <c:pt idx="83">
                  <c:v>5.0785915015033394E-4</c:v>
                </c:pt>
                <c:pt idx="84">
                  <c:v>4.2321595845861185E-4</c:v>
                </c:pt>
                <c:pt idx="85">
                  <c:v>3.5267996538217676E-4</c:v>
                </c:pt>
                <c:pt idx="86">
                  <c:v>2.9389997115181416E-4</c:v>
                </c:pt>
                <c:pt idx="87">
                  <c:v>2.4491664262651192E-4</c:v>
                </c:pt>
                <c:pt idx="88">
                  <c:v>2.0409720218876005E-4</c:v>
                </c:pt>
                <c:pt idx="89">
                  <c:v>1.700810018239668E-4</c:v>
                </c:pt>
                <c:pt idx="90">
                  <c:v>1.4173416818663909E-4</c:v>
                </c:pt>
                <c:pt idx="91">
                  <c:v>1.1811180682219931E-4</c:v>
                </c:pt>
                <c:pt idx="92">
                  <c:v>9.8426505685166154E-5</c:v>
                </c:pt>
                <c:pt idx="93">
                  <c:v>8.2022088070971843E-5</c:v>
                </c:pt>
                <c:pt idx="94">
                  <c:v>6.8351740059143236E-5</c:v>
                </c:pt>
                <c:pt idx="95">
                  <c:v>5.6959783382619395E-5</c:v>
                </c:pt>
                <c:pt idx="96">
                  <c:v>4.7466486152182858E-5</c:v>
                </c:pt>
                <c:pt idx="97">
                  <c:v>3.9555405126819072E-5</c:v>
                </c:pt>
                <c:pt idx="98">
                  <c:v>3.2962837605682581E-5</c:v>
                </c:pt>
                <c:pt idx="99">
                  <c:v>2.7469031338068832E-5</c:v>
                </c:pt>
                <c:pt idx="100">
                  <c:v>2.2890859448390707E-5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prob3!$AD$3</c:f>
              <c:strCache>
                <c:ptCount val="1"/>
                <c:pt idx="0">
                  <c:v>trapezoidal, impl</c:v>
                </c:pt>
              </c:strCache>
            </c:strRef>
          </c:tx>
          <c:spPr>
            <a:ln w="28575">
              <a:noFill/>
            </a:ln>
          </c:spPr>
          <c:xVal>
            <c:numRef>
              <c:f>prob3!$AA$4:$AA$104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xVal>
          <c:yVal>
            <c:numRef>
              <c:f>prob3!$AD$4:$AD$104</c:f>
              <c:numCache>
                <c:formatCode>General</c:formatCode>
                <c:ptCount val="101"/>
                <c:pt idx="0">
                  <c:v>0.1</c:v>
                </c:pt>
                <c:pt idx="1">
                  <c:v>0.1275</c:v>
                </c:pt>
                <c:pt idx="2">
                  <c:v>0.1499166666666667</c:v>
                </c:pt>
                <c:pt idx="3">
                  <c:v>0.16819722222222222</c:v>
                </c:pt>
                <c:pt idx="4">
                  <c:v>0.18311101851851852</c:v>
                </c:pt>
                <c:pt idx="5">
                  <c:v>0.19528318209876544</c:v>
                </c:pt>
                <c:pt idx="6">
                  <c:v>0.20522185174897117</c:v>
                </c:pt>
                <c:pt idx="7">
                  <c:v>0.21334023645747599</c:v>
                </c:pt>
                <c:pt idx="8">
                  <c:v>0.21997448504789668</c:v>
                </c:pt>
                <c:pt idx="9">
                  <c:v>0.22539816793991388</c:v>
                </c:pt>
                <c:pt idx="10">
                  <c:v>0.22983401760326155</c:v>
                </c:pt>
                <c:pt idx="11">
                  <c:v>0.23346345012538461</c:v>
                </c:pt>
                <c:pt idx="12">
                  <c:v>0.23643429013595385</c:v>
                </c:pt>
                <c:pt idx="13">
                  <c:v>0.23886704047180157</c:v>
                </c:pt>
                <c:pt idx="14">
                  <c:v>0.24085997267997333</c:v>
                </c:pt>
                <c:pt idx="15">
                  <c:v>0.24249326172942204</c:v>
                </c:pt>
                <c:pt idx="16">
                  <c:v>0.24383234570474044</c:v>
                </c:pt>
                <c:pt idx="17">
                  <c:v>0.24493065683146137</c:v>
                </c:pt>
                <c:pt idx="18">
                  <c:v>0.24583184235489328</c:v>
                </c:pt>
                <c:pt idx="19">
                  <c:v>0.24657157129201812</c:v>
                </c:pt>
                <c:pt idx="20">
                  <c:v>0.2471790048737007</c:v>
                </c:pt>
                <c:pt idx="21">
                  <c:v>0.2476779937656991</c:v>
                </c:pt>
                <c:pt idx="22">
                  <c:v>0.2480880532348414</c:v>
                </c:pt>
                <c:pt idx="23">
                  <c:v>0.2484251577731082</c:v>
                </c:pt>
                <c:pt idx="24">
                  <c:v>0.24870238887284912</c:v>
                </c:pt>
                <c:pt idx="25">
                  <c:v>0.24893046331024815</c:v>
                </c:pt>
                <c:pt idx="26">
                  <c:v>0.24911816415817253</c:v>
                </c:pt>
                <c:pt idx="27">
                  <c:v>0.24927269258484971</c:v>
                </c:pt>
                <c:pt idx="28">
                  <c:v>0.24939995511647284</c:v>
                </c:pt>
                <c:pt idx="29">
                  <c:v>0.24950479830033917</c:v>
                </c:pt>
                <c:pt idx="30">
                  <c:v>0.24959120047957206</c:v>
                </c:pt>
                <c:pt idx="31">
                  <c:v>0.24966242858307494</c:v>
                </c:pt>
                <c:pt idx="32">
                  <c:v>0.24972116636597436</c:v>
                </c:pt>
                <c:pt idx="33">
                  <c:v>0.24976961934237479</c:v>
                </c:pt>
                <c:pt idx="34">
                  <c:v>0.24980960068189598</c:v>
                </c:pt>
                <c:pt idx="35">
                  <c:v>0.24984260155218019</c:v>
                </c:pt>
                <c:pt idx="36">
                  <c:v>0.24986984874729701</c:v>
                </c:pt>
                <c:pt idx="37">
                  <c:v>0.24989235191913162</c:v>
                </c:pt>
                <c:pt idx="38">
                  <c:v>0.24991094230305036</c:v>
                </c:pt>
                <c:pt idx="39">
                  <c:v>0.2499263044822278</c:v>
                </c:pt>
                <c:pt idx="40">
                  <c:v>0.24993900245227185</c:v>
                </c:pt>
                <c:pt idx="41">
                  <c:v>0.24994950101722546</c:v>
                </c:pt>
                <c:pt idx="42">
                  <c:v>0.24995818335995373</c:v>
                </c:pt>
                <c:pt idx="43">
                  <c:v>0.24996536547644077</c:v>
                </c:pt>
                <c:pt idx="44">
                  <c:v>0.24997130803821743</c:v>
                </c:pt>
                <c:pt idx="45">
                  <c:v>0.24997622614479464</c:v>
                </c:pt>
                <c:pt idx="46">
                  <c:v>0.24998029734435295</c:v>
                </c:pt>
                <c:pt idx="47">
                  <c:v>0.24998366823258003</c:v>
                </c:pt>
                <c:pt idx="48">
                  <c:v>0.24998645988364543</c:v>
                </c:pt>
                <c:pt idx="49">
                  <c:v>0.24998877232156752</c:v>
                </c:pt>
                <c:pt idx="50">
                  <c:v>0.22915735486946337</c:v>
                </c:pt>
                <c:pt idx="51">
                  <c:v>0.1867978314057453</c:v>
                </c:pt>
                <c:pt idx="52">
                  <c:v>0.15233155471640836</c:v>
                </c:pt>
                <c:pt idx="53">
                  <c:v>0.12427631843297014</c:v>
                </c:pt>
                <c:pt idx="54">
                  <c:v>0.10143028362957898</c:v>
                </c:pt>
                <c:pt idx="55">
                  <c:v>8.2818584306332252E-2</c:v>
                </c:pt>
                <c:pt idx="56">
                  <c:v>6.7650165280623342E-2</c:v>
                </c:pt>
                <c:pt idx="57">
                  <c:v>5.528288042079664E-2</c:v>
                </c:pt>
                <c:pt idx="58">
                  <c:v>4.5195261166885603E-2</c:v>
                </c:pt>
                <c:pt idx="59">
                  <c:v>3.6963672958715402E-2</c:v>
                </c:pt>
                <c:pt idx="60">
                  <c:v>3.0243825054644749E-2</c:v>
                </c:pt>
                <c:pt idx="61">
                  <c:v>2.4755798950109494E-2</c:v>
                </c:pt>
                <c:pt idx="62">
                  <c:v>2.0271921582082335E-2</c:v>
                </c:pt>
                <c:pt idx="63">
                  <c:v>1.6606939283994822E-2</c:v>
                </c:pt>
                <c:pt idx="64">
                  <c:v>1.361005310913665E-2</c:v>
                </c:pt>
                <c:pt idx="65">
                  <c:v>1.1158460555593313E-2</c:v>
                </c:pt>
                <c:pt idx="66">
                  <c:v>9.152116834711314E-3</c:v>
                </c:pt>
                <c:pt idx="67">
                  <c:v>7.509483792966269E-3</c:v>
                </c:pt>
                <c:pt idx="68">
                  <c:v>6.1640789720373637E-3</c:v>
                </c:pt>
                <c:pt idx="69">
                  <c:v>5.0616731256835149E-3</c:v>
                </c:pt>
                <c:pt idx="70">
                  <c:v>4.1580134572581657E-3</c:v>
                </c:pt>
                <c:pt idx="71">
                  <c:v>3.4169732297326602E-3</c:v>
                </c:pt>
                <c:pt idx="72">
                  <c:v>2.8090473037245679E-3</c:v>
                </c:pt>
                <c:pt idx="73">
                  <c:v>2.310128442928354E-3</c:v>
                </c:pt>
                <c:pt idx="74">
                  <c:v>1.9005115876332666E-3</c:v>
                </c:pt>
                <c:pt idx="75">
                  <c:v>1.564083297848766E-3</c:v>
                </c:pt>
                <c:pt idx="76">
                  <c:v>1.2876616613974733E-3</c:v>
                </c:pt>
                <c:pt idx="77">
                  <c:v>1.0604585150500293E-3</c:v>
                </c:pt>
                <c:pt idx="78">
                  <c:v>8.7364113365006549E-4</c:v>
                </c:pt>
                <c:pt idx="79">
                  <c:v>7.1997484159508742E-4</c:v>
                </c:pt>
                <c:pt idx="80">
                  <c:v>5.9353148550526588E-4</c:v>
                </c:pt>
                <c:pt idx="81">
                  <c:v>4.8945153192854257E-4</c:v>
                </c:pt>
                <c:pt idx="82">
                  <c:v>4.0374984514644232E-4</c:v>
                </c:pt>
                <c:pt idx="83">
                  <c:v>3.3315705912016075E-4</c:v>
                </c:pt>
                <c:pt idx="84">
                  <c:v>2.7498996646530102E-4</c:v>
                </c:pt>
                <c:pt idx="85">
                  <c:v>2.2704557247988451E-4</c:v>
                </c:pt>
                <c:pt idx="86">
                  <c:v>1.8751445740694401E-4</c:v>
                </c:pt>
                <c:pt idx="87">
                  <c:v>1.5490989877808554E-4</c:v>
                </c:pt>
                <c:pt idx="88">
                  <c:v>1.2800986306624369E-4</c:v>
                </c:pt>
                <c:pt idx="89">
                  <c:v>1.0580951048947437E-4</c:v>
                </c:pt>
                <c:pt idx="90">
                  <c:v>8.7482291755312333E-5</c:v>
                </c:pt>
                <c:pt idx="91">
                  <c:v>7.2348069540693902E-5</c:v>
                </c:pt>
                <c:pt idx="92">
                  <c:v>5.984698574625848E-5</c:v>
                </c:pt>
                <c:pt idx="93">
                  <c:v>4.9518030358426252E-5</c:v>
                </c:pt>
                <c:pt idx="94">
                  <c:v>4.0981459087923892E-5</c:v>
                </c:pt>
                <c:pt idx="95">
                  <c:v>3.3924362937991519E-5</c:v>
                </c:pt>
                <c:pt idx="96">
                  <c:v>2.8088820073436888E-5</c:v>
                </c:pt>
                <c:pt idx="97">
                  <c:v>2.3262164161285906E-5</c:v>
                </c:pt>
                <c:pt idx="98">
                  <c:v>1.926898808114239E-5</c:v>
                </c:pt>
                <c:pt idx="99">
                  <c:v>1.5964571091675298E-5</c:v>
                </c:pt>
                <c:pt idx="100">
                  <c:v>1.322947406230806E-5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prob3!$AE$3</c:f>
              <c:strCache>
                <c:ptCount val="1"/>
                <c:pt idx="0">
                  <c:v>trapezoidal, expl</c:v>
                </c:pt>
              </c:strCache>
            </c:strRef>
          </c:tx>
          <c:spPr>
            <a:ln w="28575">
              <a:noFill/>
            </a:ln>
          </c:spPr>
          <c:xVal>
            <c:numRef>
              <c:f>prob3!$AA$4:$AA$104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xVal>
          <c:yVal>
            <c:numRef>
              <c:f>prob3!$AE$4:$AE$104</c:f>
              <c:numCache>
                <c:formatCode>General</c:formatCode>
                <c:ptCount val="101"/>
                <c:pt idx="0">
                  <c:v>0.1</c:v>
                </c:pt>
                <c:pt idx="1">
                  <c:v>0.127</c:v>
                </c:pt>
                <c:pt idx="2">
                  <c:v>0.14913999999999999</c:v>
                </c:pt>
                <c:pt idx="3">
                  <c:v>0.16729479999999999</c:v>
                </c:pt>
                <c:pt idx="4">
                  <c:v>0.18218173599999998</c:v>
                </c:pt>
                <c:pt idx="5">
                  <c:v>0.19438902351999998</c:v>
                </c:pt>
                <c:pt idx="6">
                  <c:v>0.20439899928639998</c:v>
                </c:pt>
                <c:pt idx="7">
                  <c:v>0.212607179414848</c:v>
                </c:pt>
                <c:pt idx="8">
                  <c:v>0.21933788712017535</c:v>
                </c:pt>
                <c:pt idx="9">
                  <c:v>0.22485706743854378</c:v>
                </c:pt>
                <c:pt idx="10">
                  <c:v>0.2293827952996059</c:v>
                </c:pt>
                <c:pt idx="11">
                  <c:v>0.23309389214567683</c:v>
                </c:pt>
                <c:pt idx="12">
                  <c:v>0.236136991559455</c:v>
                </c:pt>
                <c:pt idx="13">
                  <c:v>0.23863233307875309</c:v>
                </c:pt>
                <c:pt idx="14">
                  <c:v>0.24067851312457753</c:v>
                </c:pt>
                <c:pt idx="15">
                  <c:v>0.24235638076215357</c:v>
                </c:pt>
                <c:pt idx="16">
                  <c:v>0.24373223222496593</c:v>
                </c:pt>
                <c:pt idx="17">
                  <c:v>0.24486043042447206</c:v>
                </c:pt>
                <c:pt idx="18">
                  <c:v>0.24578555294806709</c:v>
                </c:pt>
                <c:pt idx="19">
                  <c:v>0.24654415341741501</c:v>
                </c:pt>
                <c:pt idx="20">
                  <c:v>0.2471662058022803</c:v>
                </c:pt>
                <c:pt idx="21">
                  <c:v>0.24767628875786984</c:v>
                </c:pt>
                <c:pt idx="22">
                  <c:v>0.24809455678145328</c:v>
                </c:pt>
                <c:pt idx="23">
                  <c:v>0.24843753656079171</c:v>
                </c:pt>
                <c:pt idx="24">
                  <c:v>0.2487187799798492</c:v>
                </c:pt>
                <c:pt idx="25">
                  <c:v>0.24894939958347634</c:v>
                </c:pt>
                <c:pt idx="26">
                  <c:v>0.24913850765845061</c:v>
                </c:pt>
                <c:pt idx="27">
                  <c:v>0.24929357627992951</c:v>
                </c:pt>
                <c:pt idx="28">
                  <c:v>0.2494207325495422</c:v>
                </c:pt>
                <c:pt idx="29">
                  <c:v>0.24952500069062461</c:v>
                </c:pt>
                <c:pt idx="30">
                  <c:v>0.24961050056631218</c:v>
                </c:pt>
                <c:pt idx="31">
                  <c:v>0.24968061046437598</c:v>
                </c:pt>
                <c:pt idx="32">
                  <c:v>0.2497381005807883</c:v>
                </c:pt>
                <c:pt idx="33">
                  <c:v>0.24978524247624639</c:v>
                </c:pt>
                <c:pt idx="34">
                  <c:v>0.24982389883052206</c:v>
                </c:pt>
                <c:pt idx="35">
                  <c:v>0.24985559704102808</c:v>
                </c:pt>
                <c:pt idx="36">
                  <c:v>0.24988158957364304</c:v>
                </c:pt>
                <c:pt idx="37">
                  <c:v>0.24990290345038729</c:v>
                </c:pt>
                <c:pt idx="38">
                  <c:v>0.24992038082931758</c:v>
                </c:pt>
                <c:pt idx="39">
                  <c:v>0.24993471228004041</c:v>
                </c:pt>
                <c:pt idx="40">
                  <c:v>0.24994646406963314</c:v>
                </c:pt>
                <c:pt idx="41">
                  <c:v>0.24995610053709919</c:v>
                </c:pt>
                <c:pt idx="42">
                  <c:v>0.24996400244042133</c:v>
                </c:pt>
                <c:pt idx="43">
                  <c:v>0.24997048200114549</c:v>
                </c:pt>
                <c:pt idx="44">
                  <c:v>0.2499757952409393</c:v>
                </c:pt>
                <c:pt idx="45">
                  <c:v>0.24998015209757021</c:v>
                </c:pt>
                <c:pt idx="46">
                  <c:v>0.24998372472000757</c:v>
                </c:pt>
                <c:pt idx="47">
                  <c:v>0.2499866542704062</c:v>
                </c:pt>
                <c:pt idx="48">
                  <c:v>0.24998905650173309</c:v>
                </c:pt>
                <c:pt idx="49">
                  <c:v>0.24999102633142112</c:v>
                </c:pt>
                <c:pt idx="50">
                  <c:v>0.24999264159176532</c:v>
                </c:pt>
                <c:pt idx="51">
                  <c:v>0.2049939661052477</c:v>
                </c:pt>
                <c:pt idx="52">
                  <c:v>0.16809505220630322</c:v>
                </c:pt>
                <c:pt idx="53">
                  <c:v>0.13783794280916872</c:v>
                </c:pt>
                <c:pt idx="54">
                  <c:v>0.11302711310351843</c:v>
                </c:pt>
                <c:pt idx="55">
                  <c:v>9.2682232744885185E-2</c:v>
                </c:pt>
                <c:pt idx="56">
                  <c:v>7.5999430850805905E-2</c:v>
                </c:pt>
                <c:pt idx="57">
                  <c:v>6.2319533297660885E-2</c:v>
                </c:pt>
                <c:pt idx="58">
                  <c:v>5.1102017304081961E-2</c:v>
                </c:pt>
                <c:pt idx="59">
                  <c:v>4.1903654189347238E-2</c:v>
                </c:pt>
                <c:pt idx="60">
                  <c:v>3.436099643526476E-2</c:v>
                </c:pt>
                <c:pt idx="61">
                  <c:v>2.8176017076917123E-2</c:v>
                </c:pt>
                <c:pt idx="62">
                  <c:v>2.3104334003072057E-2</c:v>
                </c:pt>
                <c:pt idx="63">
                  <c:v>1.89455538825191E-2</c:v>
                </c:pt>
                <c:pt idx="64">
                  <c:v>1.5535354183665674E-2</c:v>
                </c:pt>
                <c:pt idx="65">
                  <c:v>1.2738990430605862E-2</c:v>
                </c:pt>
                <c:pt idx="66">
                  <c:v>1.0445972153096814E-2</c:v>
                </c:pt>
                <c:pt idx="67">
                  <c:v>8.5656971655393935E-3</c:v>
                </c:pt>
                <c:pt idx="68">
                  <c:v>7.0238716757423077E-3</c:v>
                </c:pt>
                <c:pt idx="69">
                  <c:v>5.7595747741086964E-3</c:v>
                </c:pt>
                <c:pt idx="70">
                  <c:v>4.7228513147691345E-3</c:v>
                </c:pt>
                <c:pt idx="71">
                  <c:v>3.872738078110693E-3</c:v>
                </c:pt>
                <c:pt idx="72">
                  <c:v>3.1756452240507705E-3</c:v>
                </c:pt>
                <c:pt idx="73">
                  <c:v>2.6040290837216337E-3</c:v>
                </c:pt>
                <c:pt idx="74">
                  <c:v>2.1353038486517412E-3</c:v>
                </c:pt>
                <c:pt idx="75">
                  <c:v>1.750949155894429E-3</c:v>
                </c:pt>
                <c:pt idx="76">
                  <c:v>1.4357783078334328E-3</c:v>
                </c:pt>
                <c:pt idx="77">
                  <c:v>1.1773382124234157E-3</c:v>
                </c:pt>
                <c:pt idx="78">
                  <c:v>9.6541733418720145E-4</c:v>
                </c:pt>
                <c:pt idx="79">
                  <c:v>7.9164221403350572E-4</c:v>
                </c:pt>
                <c:pt idx="80">
                  <c:v>6.4914661550747514E-4</c:v>
                </c:pt>
                <c:pt idx="81">
                  <c:v>5.3230022471613002E-4</c:v>
                </c:pt>
                <c:pt idx="82">
                  <c:v>4.3648618426722695E-4</c:v>
                </c:pt>
                <c:pt idx="83">
                  <c:v>3.5791867109912634E-4</c:v>
                </c:pt>
                <c:pt idx="84">
                  <c:v>2.9349331030128383E-4</c:v>
                </c:pt>
                <c:pt idx="85">
                  <c:v>2.4066451444705291E-4</c:v>
                </c:pt>
                <c:pt idx="86">
                  <c:v>1.9734490184658354E-4</c:v>
                </c:pt>
                <c:pt idx="87">
                  <c:v>1.6182281951419861E-4</c:v>
                </c:pt>
                <c:pt idx="88">
                  <c:v>1.3269471200164296E-4</c:v>
                </c:pt>
                <c:pt idx="89">
                  <c:v>1.0880966384134731E-4</c:v>
                </c:pt>
                <c:pt idx="90">
                  <c:v>8.9223924349904855E-5</c:v>
                </c:pt>
                <c:pt idx="91">
                  <c:v>7.3163617966922036E-5</c:v>
                </c:pt>
                <c:pt idx="92">
                  <c:v>5.9994166732876111E-5</c:v>
                </c:pt>
                <c:pt idx="93">
                  <c:v>4.9195216720958446E-5</c:v>
                </c:pt>
                <c:pt idx="94">
                  <c:v>4.0340077711185953E-5</c:v>
                </c:pt>
                <c:pt idx="95">
                  <c:v>3.3078863723172503E-5</c:v>
                </c:pt>
                <c:pt idx="96">
                  <c:v>2.7124668253001471E-5</c:v>
                </c:pt>
                <c:pt idx="97">
                  <c:v>2.2242227967461221E-5</c:v>
                </c:pt>
                <c:pt idx="98">
                  <c:v>1.8238626933318215E-5</c:v>
                </c:pt>
                <c:pt idx="99">
                  <c:v>1.4955674085320946E-5</c:v>
                </c:pt>
                <c:pt idx="100">
                  <c:v>1.2263652749963184E-5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prob3!$AF$3</c:f>
              <c:strCache>
                <c:ptCount val="1"/>
                <c:pt idx="0">
                  <c:v>RK4</c:v>
                </c:pt>
              </c:strCache>
            </c:strRef>
          </c:tx>
          <c:spPr>
            <a:ln w="28575">
              <a:noFill/>
            </a:ln>
          </c:spPr>
          <c:xVal>
            <c:numRef>
              <c:f>prob3!$AA$4:$AA$104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xVal>
          <c:yVal>
            <c:numRef>
              <c:f>prob3!$AF$4:$AF$104</c:f>
              <c:numCache>
                <c:formatCode>General</c:formatCode>
                <c:ptCount val="101"/>
                <c:pt idx="0">
                  <c:v>0.1</c:v>
                </c:pt>
                <c:pt idx="1">
                  <c:v>0.12719</c:v>
                </c:pt>
                <c:pt idx="2">
                  <c:v>0.14945135933333334</c:v>
                </c:pt>
                <c:pt idx="3">
                  <c:v>0.16767747626484444</c:v>
                </c:pt>
                <c:pt idx="4">
                  <c:v>0.18259980573390364</c:v>
                </c:pt>
                <c:pt idx="5">
                  <c:v>0.19481721428120469</c:v>
                </c:pt>
                <c:pt idx="6">
                  <c:v>0.20482001390583165</c:v>
                </c:pt>
                <c:pt idx="7">
                  <c:v>0.2130096393851679</c:v>
                </c:pt>
                <c:pt idx="8">
                  <c:v>0.21971475875261645</c:v>
                </c:pt>
                <c:pt idx="9">
                  <c:v>0.22520446348272552</c:v>
                </c:pt>
                <c:pt idx="10">
                  <c:v>0.22969906773542348</c:v>
                </c:pt>
                <c:pt idx="11">
                  <c:v>0.23337895005724904</c:v>
                </c:pt>
                <c:pt idx="12">
                  <c:v>0.23639179237687169</c:v>
                </c:pt>
                <c:pt idx="13">
                  <c:v>0.23885850681202409</c:v>
                </c:pt>
                <c:pt idx="14">
                  <c:v>0.24087808814389786</c:v>
                </c:pt>
                <c:pt idx="15">
                  <c:v>0.24253158669968064</c:v>
                </c:pt>
                <c:pt idx="16">
                  <c:v>0.24388536108391853</c:v>
                </c:pt>
                <c:pt idx="17">
                  <c:v>0.24499374129810692</c:v>
                </c:pt>
                <c:pt idx="18">
                  <c:v>0.24590120912547006</c:v>
                </c:pt>
                <c:pt idx="19">
                  <c:v>0.24664418328465987</c:v>
                </c:pt>
                <c:pt idx="20">
                  <c:v>0.24725248099459385</c:v>
                </c:pt>
                <c:pt idx="21">
                  <c:v>0.24775051460630715</c:v>
                </c:pt>
                <c:pt idx="22">
                  <c:v>0.24815827132533722</c:v>
                </c:pt>
                <c:pt idx="23">
                  <c:v>0.24849211534309776</c:v>
                </c:pt>
                <c:pt idx="24">
                  <c:v>0.24876544456857225</c:v>
                </c:pt>
                <c:pt idx="25">
                  <c:v>0.24898922831644238</c:v>
                </c:pt>
                <c:pt idx="26">
                  <c:v>0.24917244753028192</c:v>
                </c:pt>
                <c:pt idx="27">
                  <c:v>0.24932245520795948</c:v>
                </c:pt>
                <c:pt idx="28">
                  <c:v>0.24944527149393003</c:v>
                </c:pt>
                <c:pt idx="29">
                  <c:v>0.24954582528113031</c:v>
                </c:pt>
                <c:pt idx="30">
                  <c:v>0.24962815201850408</c:v>
                </c:pt>
                <c:pt idx="31">
                  <c:v>0.24969555566261659</c:v>
                </c:pt>
                <c:pt idx="32">
                  <c:v>0.24975074127283961</c:v>
                </c:pt>
                <c:pt idx="33">
                  <c:v>0.24979592357144956</c:v>
                </c:pt>
                <c:pt idx="34">
                  <c:v>0.24983291582539813</c:v>
                </c:pt>
                <c:pt idx="35">
                  <c:v>0.24986320261678097</c:v>
                </c:pt>
                <c:pt idx="36">
                  <c:v>0.2498879994224458</c:v>
                </c:pt>
                <c:pt idx="37">
                  <c:v>0.24990830139380379</c:v>
                </c:pt>
                <c:pt idx="38">
                  <c:v>0.24992492329448696</c:v>
                </c:pt>
                <c:pt idx="39">
                  <c:v>0.24993853219863962</c:v>
                </c:pt>
                <c:pt idx="40">
                  <c:v>0.24994967426209955</c:v>
                </c:pt>
                <c:pt idx="41">
                  <c:v>0.2499587966408563</c:v>
                </c:pt>
                <c:pt idx="42">
                  <c:v>0.24996626543642375</c:v>
                </c:pt>
                <c:pt idx="43">
                  <c:v>0.24997238038831468</c:v>
                </c:pt>
                <c:pt idx="44">
                  <c:v>0.24997738690325952</c:v>
                </c:pt>
                <c:pt idx="45">
                  <c:v>0.24998148590392869</c:v>
                </c:pt>
                <c:pt idx="46">
                  <c:v>0.24998484189240988</c:v>
                </c:pt>
                <c:pt idx="47">
                  <c:v>0.24998758955204572</c:v>
                </c:pt>
                <c:pt idx="48">
                  <c:v>0.24998983915257825</c:v>
                </c:pt>
                <c:pt idx="49">
                  <c:v>0.24999168097552091</c:v>
                </c:pt>
                <c:pt idx="50">
                  <c:v>0.24999318893735814</c:v>
                </c:pt>
                <c:pt idx="51">
                  <c:v>0.20467775688931317</c:v>
                </c:pt>
                <c:pt idx="52">
                  <c:v>0.16757650215717712</c:v>
                </c:pt>
                <c:pt idx="53">
                  <c:v>0.13720046819948625</c:v>
                </c:pt>
                <c:pt idx="54">
                  <c:v>0.11233059666385946</c:v>
                </c:pt>
                <c:pt idx="55">
                  <c:v>9.1968803841923935E-2</c:v>
                </c:pt>
                <c:pt idx="56">
                  <c:v>7.5297925332177912E-2</c:v>
                </c:pt>
                <c:pt idx="57">
                  <c:v>6.1648921400298512E-2</c:v>
                </c:pt>
                <c:pt idx="58">
                  <c:v>5.0474026914471101E-2</c:v>
                </c:pt>
                <c:pt idx="59">
                  <c:v>4.1324768302441334E-2</c:v>
                </c:pt>
                <c:pt idx="60">
                  <c:v>3.383396530148549E-2</c:v>
                </c:pt>
                <c:pt idx="61">
                  <c:v>2.7700995191169572E-2</c:v>
                </c:pt>
                <c:pt idx="62">
                  <c:v>2.2679728129516918E-2</c:v>
                </c:pt>
                <c:pt idx="63">
                  <c:v>1.8568649410573165E-2</c:v>
                </c:pt>
                <c:pt idx="64">
                  <c:v>1.5202772227416613E-2</c:v>
                </c:pt>
                <c:pt idx="65">
                  <c:v>1.2447016381660236E-2</c:v>
                </c:pt>
                <c:pt idx="66">
                  <c:v>1.0190787212211299E-2</c:v>
                </c:pt>
                <c:pt idx="67">
                  <c:v>8.3435371835444694E-3</c:v>
                </c:pt>
                <c:pt idx="68">
                  <c:v>6.83113201007398E-3</c:v>
                </c:pt>
                <c:pt idx="69">
                  <c:v>5.592875481047907E-3</c:v>
                </c:pt>
                <c:pt idx="70">
                  <c:v>4.579073585516626E-3</c:v>
                </c:pt>
                <c:pt idx="71">
                  <c:v>3.7490401802486484E-3</c:v>
                </c:pt>
                <c:pt idx="72">
                  <c:v>3.0694641635755789E-3</c:v>
                </c:pt>
                <c:pt idx="73">
                  <c:v>2.5130726261914475E-3</c:v>
                </c:pt>
                <c:pt idx="74">
                  <c:v>2.0575363281504794E-3</c:v>
                </c:pt>
                <c:pt idx="75">
                  <c:v>1.6845735764010705E-3</c:v>
                </c:pt>
                <c:pt idx="76">
                  <c:v>1.379216539452104E-3</c:v>
                </c:pt>
                <c:pt idx="77">
                  <c:v>1.1292105547340869E-3</c:v>
                </c:pt>
                <c:pt idx="78">
                  <c:v>9.2452232151262208E-4</c:v>
                </c:pt>
                <c:pt idx="79">
                  <c:v>7.569372420331013E-4</c:v>
                </c:pt>
                <c:pt idx="80">
                  <c:v>6.1972975129390162E-4</c:v>
                </c:pt>
                <c:pt idx="81">
                  <c:v>5.0739340504269413E-4</c:v>
                </c:pt>
                <c:pt idx="82">
                  <c:v>4.154198938219554E-4</c:v>
                </c:pt>
                <c:pt idx="83">
                  <c:v>3.4011811440182919E-4</c:v>
                </c:pt>
                <c:pt idx="84">
                  <c:v>2.7846603753125783E-4</c:v>
                </c:pt>
                <c:pt idx="85">
                  <c:v>2.2798942712809201E-4</c:v>
                </c:pt>
                <c:pt idx="86">
                  <c:v>1.8666254363733999E-4</c:v>
                </c:pt>
                <c:pt idx="87">
                  <c:v>1.5282684656067828E-4</c:v>
                </c:pt>
                <c:pt idx="88">
                  <c:v>1.2512443350744609E-4</c:v>
                </c:pt>
                <c:pt idx="89">
                  <c:v>1.0244354452699643E-4</c:v>
                </c:pt>
                <c:pt idx="90">
                  <c:v>8.3873944689069607E-5</c:v>
                </c:pt>
                <c:pt idx="91">
                  <c:v>6.8670394315097641E-5</c:v>
                </c:pt>
                <c:pt idx="92">
                  <c:v>5.6222740838914315E-5</c:v>
                </c:pt>
                <c:pt idx="93">
                  <c:v>4.6031432016180479E-5</c:v>
                </c:pt>
                <c:pt idx="94">
                  <c:v>3.7687467772714193E-5</c:v>
                </c:pt>
                <c:pt idx="95">
                  <c:v>3.085598611444689E-5</c:v>
                </c:pt>
                <c:pt idx="96">
                  <c:v>2.526282436476817E-5</c:v>
                </c:pt>
                <c:pt idx="97">
                  <c:v>2.0683516401581207E-5</c:v>
                </c:pt>
                <c:pt idx="98">
                  <c:v>1.6934284328521265E-5</c:v>
                </c:pt>
                <c:pt idx="99">
                  <c:v>1.3864663055904654E-5</c:v>
                </c:pt>
                <c:pt idx="100">
                  <c:v>1.1351461799304346E-5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prob3!$AG$3</c:f>
              <c:strCache>
                <c:ptCount val="1"/>
                <c:pt idx="0">
                  <c:v>RK3</c:v>
                </c:pt>
              </c:strCache>
            </c:strRef>
          </c:tx>
          <c:spPr>
            <a:ln w="28575">
              <a:noFill/>
            </a:ln>
          </c:spPr>
          <c:xVal>
            <c:numRef>
              <c:f>prob3!$AA$4:$AA$104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xVal>
          <c:yVal>
            <c:numRef>
              <c:f>prob3!$AG$4:$AG$104</c:f>
              <c:numCache>
                <c:formatCode>General</c:formatCode>
                <c:ptCount val="101"/>
                <c:pt idx="0">
                  <c:v>0.1</c:v>
                </c:pt>
                <c:pt idx="1">
                  <c:v>0.13140000000000002</c:v>
                </c:pt>
                <c:pt idx="2">
                  <c:v>0.15622693333333335</c:v>
                </c:pt>
                <c:pt idx="3">
                  <c:v>0.17585676195555558</c:v>
                </c:pt>
                <c:pt idx="4">
                  <c:v>0.19137741311952594</c:v>
                </c:pt>
                <c:pt idx="5">
                  <c:v>0.2036490746398385</c:v>
                </c:pt>
                <c:pt idx="6">
                  <c:v>0.21335186834856565</c:v>
                </c:pt>
                <c:pt idx="7">
                  <c:v>0.22102354390759923</c:v>
                </c:pt>
                <c:pt idx="8">
                  <c:v>0.22708928204960846</c:v>
                </c:pt>
                <c:pt idx="9">
                  <c:v>0.23188525900722376</c:v>
                </c:pt>
                <c:pt idx="10">
                  <c:v>0.23567727812171158</c:v>
                </c:pt>
                <c:pt idx="11">
                  <c:v>0.23867550123489994</c:v>
                </c:pt>
                <c:pt idx="12">
                  <c:v>0.24104609630972756</c:v>
                </c:pt>
                <c:pt idx="13">
                  <c:v>0.24292044681555794</c:v>
                </c:pt>
                <c:pt idx="14">
                  <c:v>0.24440243328216782</c:v>
                </c:pt>
                <c:pt idx="15">
                  <c:v>0.24557419058176735</c:v>
                </c:pt>
                <c:pt idx="16">
                  <c:v>0.24650066001998405</c:v>
                </c:pt>
                <c:pt idx="17">
                  <c:v>0.2472331885224674</c:v>
                </c:pt>
                <c:pt idx="18">
                  <c:v>0.24781237439176423</c:v>
                </c:pt>
                <c:pt idx="19">
                  <c:v>0.24827031735242158</c:v>
                </c:pt>
                <c:pt idx="20">
                  <c:v>0.24863239758664799</c:v>
                </c:pt>
                <c:pt idx="21">
                  <c:v>0.24891868235850967</c:v>
                </c:pt>
                <c:pt idx="22">
                  <c:v>0.24914503818479497</c:v>
                </c:pt>
                <c:pt idx="23">
                  <c:v>0.24932401019144457</c:v>
                </c:pt>
                <c:pt idx="24">
                  <c:v>0.24946551739136882</c:v>
                </c:pt>
                <c:pt idx="25">
                  <c:v>0.24957740241744228</c:v>
                </c:pt>
                <c:pt idx="26">
                  <c:v>0.24966586617805769</c:v>
                </c:pt>
                <c:pt idx="27">
                  <c:v>0.24973581152478427</c:v>
                </c:pt>
                <c:pt idx="28">
                  <c:v>0.24979111497892942</c:v>
                </c:pt>
                <c:pt idx="29">
                  <c:v>0.24983484157667352</c:v>
                </c:pt>
                <c:pt idx="30">
                  <c:v>0.24986941473995652</c:v>
                </c:pt>
                <c:pt idx="31">
                  <c:v>0.24989675058772562</c:v>
                </c:pt>
                <c:pt idx="32">
                  <c:v>0.24991836413136173</c:v>
                </c:pt>
                <c:pt idx="33">
                  <c:v>0.24993545323986335</c:v>
                </c:pt>
                <c:pt idx="34">
                  <c:v>0.24994896502831862</c:v>
                </c:pt>
                <c:pt idx="35">
                  <c:v>0.24995964834905726</c:v>
                </c:pt>
                <c:pt idx="36">
                  <c:v>0.24996809529465461</c:v>
                </c:pt>
                <c:pt idx="37">
                  <c:v>0.24997477401297358</c:v>
                </c:pt>
                <c:pt idx="38">
                  <c:v>0.24998005465292444</c:v>
                </c:pt>
                <c:pt idx="39">
                  <c:v>0.24998422987891225</c:v>
                </c:pt>
                <c:pt idx="40">
                  <c:v>0.24998753109092661</c:v>
                </c:pt>
                <c:pt idx="41">
                  <c:v>0.24999014124922597</c:v>
                </c:pt>
                <c:pt idx="42">
                  <c:v>0.24999220501438801</c:v>
                </c:pt>
                <c:pt idx="43">
                  <c:v>0.24999383676470946</c:v>
                </c:pt>
                <c:pt idx="44">
                  <c:v>0.24999512693529694</c:v>
                </c:pt>
                <c:pt idx="45">
                  <c:v>0.24999614703017478</c:v>
                </c:pt>
                <c:pt idx="46">
                  <c:v>0.24999695358519153</c:v>
                </c:pt>
                <c:pt idx="47">
                  <c:v>0.2499975913013581</c:v>
                </c:pt>
                <c:pt idx="48">
                  <c:v>0.24999809552227381</c:v>
                </c:pt>
                <c:pt idx="49">
                  <c:v>0.24999849419294448</c:v>
                </c:pt>
                <c:pt idx="50">
                  <c:v>0.24999880940855476</c:v>
                </c:pt>
                <c:pt idx="51">
                  <c:v>0.19766572530569745</c:v>
                </c:pt>
                <c:pt idx="52">
                  <c:v>0.15628770014170493</c:v>
                </c:pt>
                <c:pt idx="53">
                  <c:v>0.12357147491204147</c:v>
                </c:pt>
                <c:pt idx="54">
                  <c:v>9.7703846163787536E-2</c:v>
                </c:pt>
                <c:pt idx="55">
                  <c:v>7.7251174366834749E-2</c:v>
                </c:pt>
                <c:pt idx="56">
                  <c:v>6.1079928532710728E-2</c:v>
                </c:pt>
                <c:pt idx="57">
                  <c:v>4.8293863493196657E-2</c:v>
                </c:pt>
                <c:pt idx="58">
                  <c:v>3.8184348068620852E-2</c:v>
                </c:pt>
                <c:pt idx="59">
                  <c:v>3.0191091206256244E-2</c:v>
                </c:pt>
                <c:pt idx="60">
                  <c:v>2.3871089447079958E-2</c:v>
                </c:pt>
                <c:pt idx="61">
                  <c:v>1.8874074722824569E-2</c:v>
                </c:pt>
                <c:pt idx="62">
                  <c:v>1.4923101747513306E-2</c:v>
                </c:pt>
                <c:pt idx="63">
                  <c:v>1.1799199115033864E-2</c:v>
                </c:pt>
                <c:pt idx="64">
                  <c:v>9.3292334336201165E-3</c:v>
                </c:pt>
                <c:pt idx="65">
                  <c:v>7.3763139015156449E-3</c:v>
                </c:pt>
                <c:pt idx="66">
                  <c:v>5.8322055247983749E-3</c:v>
                </c:pt>
                <c:pt idx="67">
                  <c:v>4.6113305016072526E-3</c:v>
                </c:pt>
                <c:pt idx="68">
                  <c:v>3.6460253166041377E-3</c:v>
                </c:pt>
                <c:pt idx="69">
                  <c:v>2.8827906836616738E-3</c:v>
                </c:pt>
                <c:pt idx="70">
                  <c:v>2.2793265005484988E-3</c:v>
                </c:pt>
                <c:pt idx="71">
                  <c:v>1.8021874864336813E-3</c:v>
                </c:pt>
                <c:pt idx="72">
                  <c:v>1.4249295726068987E-3</c:v>
                </c:pt>
                <c:pt idx="73">
                  <c:v>1.1266443154078554E-3</c:v>
                </c:pt>
                <c:pt idx="74">
                  <c:v>8.9080010538247843E-4</c:v>
                </c:pt>
                <c:pt idx="75">
                  <c:v>7.0432594998908024E-4</c:v>
                </c:pt>
                <c:pt idx="76">
                  <c:v>5.568870511246999E-4</c:v>
                </c:pt>
                <c:pt idx="77">
                  <c:v>4.4031202842259641E-4</c:v>
                </c:pt>
                <c:pt idx="78">
                  <c:v>3.4814004380613318E-4</c:v>
                </c:pt>
                <c:pt idx="79">
                  <c:v>2.7526272796938288E-4</c:v>
                </c:pt>
                <c:pt idx="80">
                  <c:v>2.1764106358112558E-4</c:v>
                </c:pt>
                <c:pt idx="81">
                  <c:v>1.7208153427147676E-4</c:v>
                </c:pt>
                <c:pt idx="82">
                  <c:v>1.360591330973144E-4</c:v>
                </c:pt>
                <c:pt idx="83">
                  <c:v>1.0757742123561001E-4</c:v>
                </c:pt>
                <c:pt idx="84">
                  <c:v>8.5057881056955728E-5</c:v>
                </c:pt>
                <c:pt idx="85">
                  <c:v>6.7252431289033051E-5</c:v>
                </c:pt>
                <c:pt idx="86">
                  <c:v>5.3174255672528846E-5</c:v>
                </c:pt>
                <c:pt idx="87">
                  <c:v>4.2043111485079513E-5</c:v>
                </c:pt>
                <c:pt idx="88">
                  <c:v>3.3242086814202899E-5</c:v>
                </c:pt>
                <c:pt idx="89">
                  <c:v>2.628340997442978E-5</c:v>
                </c:pt>
                <c:pt idx="90">
                  <c:v>2.0781416153115829E-5</c:v>
                </c:pt>
                <c:pt idx="91">
                  <c:v>1.6431173038396931E-5</c:v>
                </c:pt>
                <c:pt idx="92">
                  <c:v>1.2991580815692518E-5</c:v>
                </c:pt>
                <c:pt idx="93">
                  <c:v>1.0272009898274226E-5</c:v>
                </c:pt>
                <c:pt idx="94">
                  <c:v>8.1217358262354962E-6</c:v>
                </c:pt>
                <c:pt idx="95">
                  <c:v>6.4215857932768714E-6</c:v>
                </c:pt>
                <c:pt idx="96">
                  <c:v>5.0773338338842506E-6</c:v>
                </c:pt>
                <c:pt idx="97">
                  <c:v>4.0144786179911506E-6</c:v>
                </c:pt>
                <c:pt idx="98">
                  <c:v>3.1741144272916726E-6</c:v>
                </c:pt>
                <c:pt idx="99">
                  <c:v>2.5096664738452844E-6</c:v>
                </c:pt>
                <c:pt idx="100">
                  <c:v>1.9843096253203397E-6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prob3!$AH$3</c:f>
              <c:strCache>
                <c:ptCount val="1"/>
                <c:pt idx="0">
                  <c:v>Adams-Bashforth</c:v>
                </c:pt>
              </c:strCache>
            </c:strRef>
          </c:tx>
          <c:spPr>
            <a:ln w="28575">
              <a:noFill/>
            </a:ln>
          </c:spPr>
          <c:xVal>
            <c:numRef>
              <c:f>prob3!$AA$4:$AA$104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xVal>
          <c:yVal>
            <c:numRef>
              <c:f>prob3!$AH$4:$AH$104</c:f>
              <c:numCache>
                <c:formatCode>General</c:formatCode>
                <c:ptCount val="101"/>
                <c:pt idx="0">
                  <c:v>0.1</c:v>
                </c:pt>
                <c:pt idx="1">
                  <c:v>0.13</c:v>
                </c:pt>
                <c:pt idx="2">
                  <c:v>0.154</c:v>
                </c:pt>
                <c:pt idx="3">
                  <c:v>0.17319999999999999</c:v>
                </c:pt>
                <c:pt idx="4">
                  <c:v>0.18695000000000001</c:v>
                </c:pt>
                <c:pt idx="5">
                  <c:v>0.19868791666666666</c:v>
                </c:pt>
                <c:pt idx="6">
                  <c:v>0.20768637152777777</c:v>
                </c:pt>
                <c:pt idx="7">
                  <c:v>0.21553209360532408</c:v>
                </c:pt>
                <c:pt idx="8">
                  <c:v>0.22161815906515239</c:v>
                </c:pt>
                <c:pt idx="9">
                  <c:v>0.22687807804517707</c:v>
                </c:pt>
                <c:pt idx="10">
                  <c:v>0.23097530281777925</c:v>
                </c:pt>
                <c:pt idx="11">
                  <c:v>0.23449265204048647</c:v>
                </c:pt>
                <c:pt idx="12">
                  <c:v>0.23724699827329515</c:v>
                </c:pt>
                <c:pt idx="13">
                  <c:v>0.23959948213584706</c:v>
                </c:pt>
                <c:pt idx="14">
                  <c:v>0.24145074030680405</c:v>
                </c:pt>
                <c:pt idx="15">
                  <c:v>0.24302468748508083</c:v>
                </c:pt>
                <c:pt idx="16">
                  <c:v>0.24426867091720841</c:v>
                </c:pt>
                <c:pt idx="17">
                  <c:v>0.2453219843259099</c:v>
                </c:pt>
                <c:pt idx="18">
                  <c:v>0.24615769825927239</c:v>
                </c:pt>
                <c:pt idx="19">
                  <c:v>0.24686274021258672</c:v>
                </c:pt>
                <c:pt idx="20">
                  <c:v>0.24742405774426182</c:v>
                </c:pt>
                <c:pt idx="21">
                  <c:v>0.24789607041049788</c:v>
                </c:pt>
                <c:pt idx="22">
                  <c:v>0.2482730156671796</c:v>
                </c:pt>
                <c:pt idx="23">
                  <c:v>0.24858907248301368</c:v>
                </c:pt>
                <c:pt idx="24">
                  <c:v>0.24884216291891184</c:v>
                </c:pt>
                <c:pt idx="25">
                  <c:v>0.24905382433529927</c:v>
                </c:pt>
                <c:pt idx="26">
                  <c:v>0.24922373044286134</c:v>
                </c:pt>
                <c:pt idx="27">
                  <c:v>0.24936549782430023</c:v>
                </c:pt>
                <c:pt idx="28">
                  <c:v>0.24947954517143722</c:v>
                </c:pt>
                <c:pt idx="29">
                  <c:v>0.24957451000340797</c:v>
                </c:pt>
                <c:pt idx="30">
                  <c:v>0.24965105391519132</c:v>
                </c:pt>
                <c:pt idx="31">
                  <c:v>0.24971467419803359</c:v>
                </c:pt>
                <c:pt idx="32">
                  <c:v>0.24976604200237759</c:v>
                </c:pt>
                <c:pt idx="33">
                  <c:v>0.24980866752505931</c:v>
                </c:pt>
                <c:pt idx="34">
                  <c:v>0.24984313672648845</c:v>
                </c:pt>
                <c:pt idx="35">
                  <c:v>0.24987169820745483</c:v>
                </c:pt>
                <c:pt idx="36">
                  <c:v>0.24989482608284655</c:v>
                </c:pt>
                <c:pt idx="37">
                  <c:v>0.24991396532058602</c:v>
                </c:pt>
                <c:pt idx="38">
                  <c:v>0.2499294823465717</c:v>
                </c:pt>
                <c:pt idx="39">
                  <c:v>0.2499423085436959</c:v>
                </c:pt>
                <c:pt idx="40">
                  <c:v>0.24995271859726584</c:v>
                </c:pt>
                <c:pt idx="41">
                  <c:v>0.24996131461635382</c:v>
                </c:pt>
                <c:pt idx="42">
                  <c:v>0.24996829810253399</c:v>
                </c:pt>
                <c:pt idx="43">
                  <c:v>0.24997405939853343</c:v>
                </c:pt>
                <c:pt idx="44">
                  <c:v>0.249978743962704</c:v>
                </c:pt>
                <c:pt idx="45">
                  <c:v>0.24998260553202217</c:v>
                </c:pt>
                <c:pt idx="46">
                  <c:v>0.24998574782131705</c:v>
                </c:pt>
                <c:pt idx="47">
                  <c:v>0.24998833618951391</c:v>
                </c:pt>
                <c:pt idx="48">
                  <c:v>0.24999044387296354</c:v>
                </c:pt>
                <c:pt idx="49">
                  <c:v>0.24999217889436182</c:v>
                </c:pt>
                <c:pt idx="50">
                  <c:v>0.24999359256681838</c:v>
                </c:pt>
                <c:pt idx="51">
                  <c:v>0.19999475561680446</c:v>
                </c:pt>
                <c:pt idx="52">
                  <c:v>0.17291237043583227</c:v>
                </c:pt>
                <c:pt idx="53">
                  <c:v>0.13365967787331295</c:v>
                </c:pt>
                <c:pt idx="54">
                  <c:v>0.11449871077299212</c:v>
                </c:pt>
                <c:pt idx="55">
                  <c:v>8.9421102409961734E-2</c:v>
                </c:pt>
                <c:pt idx="56">
                  <c:v>7.6488323707199699E-2</c:v>
                </c:pt>
                <c:pt idx="57">
                  <c:v>6.0117257378456981E-2</c:v>
                </c:pt>
                <c:pt idx="58">
                  <c:v>5.118617030094029E-2</c:v>
                </c:pt>
                <c:pt idx="59">
                  <c:v>4.0406176661777933E-2</c:v>
                </c:pt>
                <c:pt idx="60">
                  <c:v>3.4253682676107781E-2</c:v>
                </c:pt>
                <c:pt idx="61">
                  <c:v>2.7146840102193575E-2</c:v>
                </c:pt>
                <c:pt idx="62">
                  <c:v>2.292632400629685E-2</c:v>
                </c:pt>
                <c:pt idx="63">
                  <c:v>1.8234532978156099E-2</c:v>
                </c:pt>
                <c:pt idx="64">
                  <c:v>1.534789850212891E-2</c:v>
                </c:pt>
                <c:pt idx="65">
                  <c:v>1.2245820175302909E-2</c:v>
                </c:pt>
                <c:pt idx="66">
                  <c:v>1.0276362657376597E-2</c:v>
                </c:pt>
                <c:pt idx="67">
                  <c:v>8.2225459608082207E-3</c:v>
                </c:pt>
                <c:pt idx="68">
                  <c:v>6.8817218689225558E-3</c:v>
                </c:pt>
                <c:pt idx="69">
                  <c:v>5.5202424701870324E-3</c:v>
                </c:pt>
                <c:pt idx="70">
                  <c:v>4.609086784958946E-3</c:v>
                </c:pt>
                <c:pt idx="71">
                  <c:v>3.705534593837552E-3</c:v>
                </c:pt>
                <c:pt idx="72">
                  <c:v>3.0873532861283477E-3</c:v>
                </c:pt>
                <c:pt idx="73">
                  <c:v>2.4870872985246727E-3</c:v>
                </c:pt>
                <c:pt idx="74">
                  <c:v>2.0682626614859792E-3</c:v>
                </c:pt>
                <c:pt idx="75">
                  <c:v>1.6691080280611136E-3</c:v>
                </c:pt>
                <c:pt idx="76">
                  <c:v>1.385695569844896E-3</c:v>
                </c:pt>
                <c:pt idx="77">
                  <c:v>1.1200471075605407E-3</c:v>
                </c:pt>
                <c:pt idx="78">
                  <c:v>9.2847056272830572E-4</c:v>
                </c:pt>
                <c:pt idx="79">
                  <c:v>7.5153835076417264E-4</c:v>
                </c:pt>
                <c:pt idx="80">
                  <c:v>6.2216060957921151E-4</c:v>
                </c:pt>
                <c:pt idx="81">
                  <c:v>5.0423512887360451E-4</c:v>
                </c:pt>
                <c:pt idx="82">
                  <c:v>4.169339619019848E-4</c:v>
                </c:pt>
                <c:pt idx="83">
                  <c:v>3.3828735608015369E-4</c:v>
                </c:pt>
                <c:pt idx="84">
                  <c:v>2.7942106346097212E-4</c:v>
                </c:pt>
                <c:pt idx="85">
                  <c:v>2.2694068919317735E-4</c:v>
                </c:pt>
                <c:pt idx="86">
                  <c:v>1.8727300853255062E-4</c:v>
                </c:pt>
                <c:pt idx="87">
                  <c:v>1.522354422806557E-4</c:v>
                </c:pt>
                <c:pt idx="88">
                  <c:v>1.2551996102220253E-4</c:v>
                </c:pt>
                <c:pt idx="89">
                  <c:v>1.0211711206696737E-4</c:v>
                </c:pt>
                <c:pt idx="90">
                  <c:v>8.4133630808929413E-5</c:v>
                </c:pt>
                <c:pt idx="91">
                  <c:v>6.8495633643632505E-5</c:v>
                </c:pt>
                <c:pt idx="92">
                  <c:v>5.6395390894041532E-5</c:v>
                </c:pt>
                <c:pt idx="93">
                  <c:v>4.5942103847994496E-5</c:v>
                </c:pt>
                <c:pt idx="94">
                  <c:v>3.780357537778382E-5</c:v>
                </c:pt>
                <c:pt idx="95">
                  <c:v>3.0813731385839856E-5</c:v>
                </c:pt>
                <c:pt idx="96">
                  <c:v>2.5341701358661798E-5</c:v>
                </c:pt>
                <c:pt idx="97">
                  <c:v>2.0666394881095997E-5</c:v>
                </c:pt>
                <c:pt idx="98">
                  <c:v>1.6988334704635559E-5</c:v>
                </c:pt>
                <c:pt idx="99">
                  <c:v>1.3860330716567072E-5</c:v>
                </c:pt>
                <c:pt idx="100">
                  <c:v>1.138876621481469E-5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144576"/>
        <c:axId val="203154560"/>
      </c:scatterChart>
      <c:valAx>
        <c:axId val="20314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154560"/>
        <c:crosses val="autoZero"/>
        <c:crossBetween val="midCat"/>
      </c:valAx>
      <c:valAx>
        <c:axId val="20315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1445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'prob3 (2)'!$AB$3</c:f>
              <c:strCache>
                <c:ptCount val="1"/>
                <c:pt idx="0">
                  <c:v>euler, fwd</c:v>
                </c:pt>
              </c:strCache>
            </c:strRef>
          </c:tx>
          <c:xVal>
            <c:numRef>
              <c:f>'prob3 (2)'!$AA$4:$AA$104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'prob3 (2)'!$AB$4:$AB$104</c:f>
              <c:numCache>
                <c:formatCode>General</c:formatCode>
                <c:ptCount val="101"/>
                <c:pt idx="0">
                  <c:v>0.1</c:v>
                </c:pt>
                <c:pt idx="1">
                  <c:v>0.4</c:v>
                </c:pt>
                <c:pt idx="2">
                  <c:v>9.9999999999999978E-2</c:v>
                </c:pt>
                <c:pt idx="3">
                  <c:v>0.4</c:v>
                </c:pt>
                <c:pt idx="4">
                  <c:v>9.9999999999999978E-2</c:v>
                </c:pt>
                <c:pt idx="5">
                  <c:v>-9.9999999999999978E-2</c:v>
                </c:pt>
                <c:pt idx="6">
                  <c:v>9.9999999999999978E-2</c:v>
                </c:pt>
                <c:pt idx="7">
                  <c:v>-9.9999999999999978E-2</c:v>
                </c:pt>
                <c:pt idx="8">
                  <c:v>9.9999999999999978E-2</c:v>
                </c:pt>
                <c:pt idx="9">
                  <c:v>-9.9999999999999978E-2</c:v>
                </c:pt>
                <c:pt idx="10">
                  <c:v>9.9999999999999978E-2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'prob3 (2)'!$AC$3</c:f>
              <c:strCache>
                <c:ptCount val="1"/>
                <c:pt idx="0">
                  <c:v>euler, backward</c:v>
                </c:pt>
              </c:strCache>
            </c:strRef>
          </c:tx>
          <c:xVal>
            <c:numRef>
              <c:f>'prob3 (2)'!$AA$4:$AA$104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'prob3 (2)'!$AC$4:$AC$104</c:f>
              <c:numCache>
                <c:formatCode>General</c:formatCode>
                <c:ptCount val="101"/>
                <c:pt idx="0">
                  <c:v>0.1</c:v>
                </c:pt>
                <c:pt idx="1">
                  <c:v>0.19999999999999998</c:v>
                </c:pt>
                <c:pt idx="2">
                  <c:v>0.23333333333333331</c:v>
                </c:pt>
                <c:pt idx="3">
                  <c:v>0.24444444444444444</c:v>
                </c:pt>
                <c:pt idx="4">
                  <c:v>0.24814814814814815</c:v>
                </c:pt>
                <c:pt idx="5">
                  <c:v>8.2716049382716053E-2</c:v>
                </c:pt>
                <c:pt idx="6">
                  <c:v>2.757201646090535E-2</c:v>
                </c:pt>
                <c:pt idx="7">
                  <c:v>9.1906721536351172E-3</c:v>
                </c:pt>
                <c:pt idx="8">
                  <c:v>3.0635573845450392E-3</c:v>
                </c:pt>
                <c:pt idx="9">
                  <c:v>1.0211857948483464E-3</c:v>
                </c:pt>
                <c:pt idx="10">
                  <c:v>3.4039526494944878E-4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'prob3 (2)'!$AD$3</c:f>
              <c:strCache>
                <c:ptCount val="1"/>
                <c:pt idx="0">
                  <c:v>trapezoidal, impl</c:v>
                </c:pt>
              </c:strCache>
            </c:strRef>
          </c:tx>
          <c:xVal>
            <c:numRef>
              <c:f>'prob3 (2)'!$AA$4:$AA$104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'prob3 (2)'!$AD$4:$AD$104</c:f>
              <c:numCache>
                <c:formatCode>General</c:formatCode>
                <c:ptCount val="101"/>
                <c:pt idx="0">
                  <c:v>0.1</c:v>
                </c:pt>
                <c:pt idx="1">
                  <c:v>0.3</c:v>
                </c:pt>
                <c:pt idx="2">
                  <c:v>0.16666666666666663</c:v>
                </c:pt>
                <c:pt idx="3">
                  <c:v>0.32222222222222224</c:v>
                </c:pt>
                <c:pt idx="4">
                  <c:v>0.17407407407407405</c:v>
                </c:pt>
                <c:pt idx="5">
                  <c:v>-8.6419753086419623E-3</c:v>
                </c:pt>
                <c:pt idx="6">
                  <c:v>6.3786008230452662E-2</c:v>
                </c:pt>
                <c:pt idx="7">
                  <c:v>-4.5404663923182431E-2</c:v>
                </c:pt>
                <c:pt idx="8">
                  <c:v>5.153177869227251E-2</c:v>
                </c:pt>
                <c:pt idx="9">
                  <c:v>-4.9489407102575815E-2</c:v>
                </c:pt>
                <c:pt idx="10">
                  <c:v>5.0170197632474711E-2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'prob3 (2)'!$AE$3</c:f>
              <c:strCache>
                <c:ptCount val="1"/>
                <c:pt idx="0">
                  <c:v>trapezoidal, expl</c:v>
                </c:pt>
              </c:strCache>
            </c:strRef>
          </c:tx>
          <c:xVal>
            <c:numRef>
              <c:f>'prob3 (2)'!$AA$4:$AA$104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'prob3 (2)'!$AE$4:$AE$104</c:f>
              <c:numCache>
                <c:formatCode>General</c:formatCode>
                <c:ptCount val="101"/>
                <c:pt idx="0">
                  <c:v>0.1</c:v>
                </c:pt>
                <c:pt idx="1">
                  <c:v>9.9999999999999978E-2</c:v>
                </c:pt>
                <c:pt idx="2">
                  <c:v>9.9999999999999978E-2</c:v>
                </c:pt>
                <c:pt idx="3">
                  <c:v>9.9999999999999978E-2</c:v>
                </c:pt>
                <c:pt idx="4">
                  <c:v>9.9999999999999978E-2</c:v>
                </c:pt>
                <c:pt idx="5">
                  <c:v>9.9999999999999978E-2</c:v>
                </c:pt>
                <c:pt idx="6">
                  <c:v>9.9999999999999978E-2</c:v>
                </c:pt>
                <c:pt idx="7">
                  <c:v>9.9999999999999978E-2</c:v>
                </c:pt>
                <c:pt idx="8">
                  <c:v>9.9999999999999978E-2</c:v>
                </c:pt>
                <c:pt idx="9">
                  <c:v>9.9999999999999978E-2</c:v>
                </c:pt>
                <c:pt idx="10">
                  <c:v>9.9999999999999978E-2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'prob3 (2)'!$AF$3</c:f>
              <c:strCache>
                <c:ptCount val="1"/>
                <c:pt idx="0">
                  <c:v>RK4</c:v>
                </c:pt>
              </c:strCache>
            </c:strRef>
          </c:tx>
          <c:xVal>
            <c:numRef>
              <c:f>'prob3 (2)'!$AA$4:$AA$104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'prob3 (2)'!$AF$4:$AF$104</c:f>
              <c:numCache>
                <c:formatCode>General</c:formatCode>
                <c:ptCount val="101"/>
                <c:pt idx="0">
                  <c:v>0.1</c:v>
                </c:pt>
                <c:pt idx="1">
                  <c:v>0.2</c:v>
                </c:pt>
                <c:pt idx="2">
                  <c:v>0.23333333333333334</c:v>
                </c:pt>
                <c:pt idx="3">
                  <c:v>0.24444444444444444</c:v>
                </c:pt>
                <c:pt idx="4">
                  <c:v>0.24814814814814815</c:v>
                </c:pt>
                <c:pt idx="5">
                  <c:v>8.2716049382716067E-2</c:v>
                </c:pt>
                <c:pt idx="6">
                  <c:v>2.7572016460905353E-2</c:v>
                </c:pt>
                <c:pt idx="7">
                  <c:v>9.1906721536351155E-3</c:v>
                </c:pt>
                <c:pt idx="8">
                  <c:v>3.0635573845450379E-3</c:v>
                </c:pt>
                <c:pt idx="9">
                  <c:v>1.021185794848346E-3</c:v>
                </c:pt>
                <c:pt idx="10">
                  <c:v>3.4039526494944862E-4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'prob3 (2)'!$AG$3</c:f>
              <c:strCache>
                <c:ptCount val="1"/>
                <c:pt idx="0">
                  <c:v>RK3</c:v>
                </c:pt>
              </c:strCache>
            </c:strRef>
          </c:tx>
          <c:xVal>
            <c:numRef>
              <c:f>'prob3 (2)'!$AA$4:$AA$104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'prob3 (2)'!$AG$4:$AG$104</c:f>
              <c:numCache>
                <c:formatCode>General</c:formatCode>
                <c:ptCount val="101"/>
                <c:pt idx="0">
                  <c:v>0.1</c:v>
                </c:pt>
                <c:pt idx="1">
                  <c:v>0.44999999999999996</c:v>
                </c:pt>
                <c:pt idx="2">
                  <c:v>-1.6666666666666607E-2</c:v>
                </c:pt>
                <c:pt idx="3">
                  <c:v>0.60555555555555551</c:v>
                </c:pt>
                <c:pt idx="4">
                  <c:v>-0.22407407407407387</c:v>
                </c:pt>
                <c:pt idx="5">
                  <c:v>0.29876543209876516</c:v>
                </c:pt>
                <c:pt idx="6">
                  <c:v>-0.39835390946502025</c:v>
                </c:pt>
                <c:pt idx="7">
                  <c:v>0.53113854595336019</c:v>
                </c:pt>
                <c:pt idx="8">
                  <c:v>-0.70818472793781351</c:v>
                </c:pt>
                <c:pt idx="9">
                  <c:v>0.94424630391708475</c:v>
                </c:pt>
                <c:pt idx="10">
                  <c:v>-1.2589950718894463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88416"/>
        <c:axId val="236189952"/>
      </c:scatterChart>
      <c:valAx>
        <c:axId val="23618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6189952"/>
        <c:crosses val="autoZero"/>
        <c:crossBetween val="midCat"/>
      </c:valAx>
      <c:valAx>
        <c:axId val="23618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188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409574</xdr:colOff>
      <xdr:row>7</xdr:row>
      <xdr:rowOff>109537</xdr:rowOff>
    </xdr:from>
    <xdr:to>
      <xdr:col>36</xdr:col>
      <xdr:colOff>171450</xdr:colOff>
      <xdr:row>38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495299</xdr:colOff>
      <xdr:row>15</xdr:row>
      <xdr:rowOff>23812</xdr:rowOff>
    </xdr:from>
    <xdr:to>
      <xdr:col>30</xdr:col>
      <xdr:colOff>609600</xdr:colOff>
      <xdr:row>46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K44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6" sqref="D6"/>
    </sheetView>
  </sheetViews>
  <sheetFormatPr defaultRowHeight="15" x14ac:dyDescent="0.25"/>
  <cols>
    <col min="2" max="2" width="11.5703125" customWidth="1"/>
    <col min="5" max="5" width="16" customWidth="1"/>
    <col min="6" max="9" width="15.42578125" bestFit="1" customWidth="1"/>
    <col min="10" max="10" width="17" customWidth="1"/>
    <col min="11" max="11" width="11.42578125" customWidth="1"/>
    <col min="12" max="12" width="16" customWidth="1"/>
  </cols>
  <sheetData>
    <row r="2" spans="1:37" x14ac:dyDescent="0.25">
      <c r="L2" t="s">
        <v>16</v>
      </c>
    </row>
    <row r="3" spans="1:37" x14ac:dyDescent="0.25">
      <c r="B3" t="s">
        <v>10</v>
      </c>
      <c r="D3" t="s">
        <v>0</v>
      </c>
      <c r="E3" t="s">
        <v>1</v>
      </c>
      <c r="F3" t="s">
        <v>2</v>
      </c>
      <c r="J3" t="s">
        <v>13</v>
      </c>
      <c r="K3" t="s">
        <v>14</v>
      </c>
      <c r="L3" t="s">
        <v>15</v>
      </c>
      <c r="N3" t="s">
        <v>3</v>
      </c>
      <c r="O3" t="s">
        <v>4</v>
      </c>
      <c r="P3" t="s">
        <v>5</v>
      </c>
      <c r="Q3" t="s">
        <v>6</v>
      </c>
      <c r="R3" t="s">
        <v>17</v>
      </c>
      <c r="T3" t="s">
        <v>3</v>
      </c>
      <c r="U3" t="s">
        <v>4</v>
      </c>
      <c r="V3" t="s">
        <v>5</v>
      </c>
      <c r="W3" t="s">
        <v>18</v>
      </c>
      <c r="Y3" t="s">
        <v>19</v>
      </c>
      <c r="AC3" t="s">
        <v>3</v>
      </c>
      <c r="AD3" t="s">
        <v>4</v>
      </c>
      <c r="AE3" t="s">
        <v>5</v>
      </c>
      <c r="AF3" t="s">
        <v>6</v>
      </c>
      <c r="AG3" t="s">
        <v>7</v>
      </c>
      <c r="AH3" t="s">
        <v>9</v>
      </c>
      <c r="AI3" t="s">
        <v>8</v>
      </c>
      <c r="AJ3" t="s">
        <v>11</v>
      </c>
      <c r="AK3" t="s">
        <v>12</v>
      </c>
    </row>
    <row r="4" spans="1:37" x14ac:dyDescent="0.25">
      <c r="A4">
        <v>0</v>
      </c>
      <c r="D4">
        <f>(EXP(-2*A4)+2*EXP(-2*A4))*0.1/3</f>
        <v>0.10000000000000002</v>
      </c>
      <c r="E4">
        <v>0.1</v>
      </c>
      <c r="F4">
        <v>0.1</v>
      </c>
      <c r="G4">
        <v>0.1</v>
      </c>
      <c r="H4">
        <v>0.1</v>
      </c>
      <c r="I4">
        <v>0.1</v>
      </c>
      <c r="J4">
        <v>0.1</v>
      </c>
      <c r="L4">
        <v>0.1</v>
      </c>
      <c r="R4">
        <v>0.1</v>
      </c>
      <c r="W4">
        <v>0.1</v>
      </c>
      <c r="Y4">
        <v>0.1</v>
      </c>
      <c r="AI4">
        <v>0.1</v>
      </c>
    </row>
    <row r="5" spans="1:37" x14ac:dyDescent="0.25">
      <c r="A5">
        <f>A4+0.1</f>
        <v>0.1</v>
      </c>
      <c r="B5">
        <f t="shared" ref="B5:B35" si="0">A5-A4</f>
        <v>0.1</v>
      </c>
      <c r="D5">
        <f>(EXP(-2*A5)+2*EXP(-2*A5))*0.1/3</f>
        <v>8.1873075307798193E-2</v>
      </c>
      <c r="E5">
        <f t="shared" ref="E5:E35" si="1">E4+B5*(-2*E4)</f>
        <v>0.08</v>
      </c>
      <c r="F5">
        <f t="shared" ref="F5:F35" si="2">$I4+($B5)*(-2*E5)</f>
        <v>8.4000000000000005E-2</v>
      </c>
      <c r="G5">
        <f t="shared" ref="G5:G35" si="3">$I4+($B5)*(-2*F5)</f>
        <v>8.3199999999999996E-2</v>
      </c>
      <c r="H5">
        <f t="shared" ref="H5:H35" si="4">$I4+($B5)*(-2*G5)</f>
        <v>8.3360000000000004E-2</v>
      </c>
      <c r="I5">
        <f t="shared" ref="I5:I35" si="5">$I4+($B5)*(-2*H5)</f>
        <v>8.3327999999999999E-2</v>
      </c>
      <c r="J5">
        <f>AVERAGE(I5,E5)</f>
        <v>8.1664E-2</v>
      </c>
      <c r="K5">
        <f>E5</f>
        <v>0.08</v>
      </c>
      <c r="L5">
        <f t="shared" ref="L5:L35" si="6">L4+B5*AVERAGE(-2*K5,-2*L4)</f>
        <v>8.2000000000000003E-2</v>
      </c>
      <c r="N5">
        <f>-2*R4</f>
        <v>-0.2</v>
      </c>
      <c r="O5">
        <f t="shared" ref="O5:O35" si="7">-2*(R4+N5/2*B5)</f>
        <v>-0.18</v>
      </c>
      <c r="P5">
        <f t="shared" ref="P5:P35" si="8">-2*(R4+O5/2*B5)</f>
        <v>-0.18200000000000002</v>
      </c>
      <c r="Q5">
        <f t="shared" ref="Q5:Q35" si="9">-2*(R4+P5*B5)</f>
        <v>-0.1636</v>
      </c>
      <c r="R5">
        <f t="shared" ref="R5:R35" si="10">R4+(1/6*N5+1/3*O5+1/3*P5+1/6*Q5)*B5</f>
        <v>8.187333333333334E-2</v>
      </c>
      <c r="T5">
        <f>-2*W4</f>
        <v>-0.2</v>
      </c>
      <c r="U5">
        <f t="shared" ref="U5:U35" si="11">-2*(W4+T5/2*B5)</f>
        <v>-0.18</v>
      </c>
      <c r="V5">
        <f t="shared" ref="V5:V35" si="12">-2*(W4-1*T5*B5+U5*2*B5)</f>
        <v>-0.16800000000000004</v>
      </c>
      <c r="W5">
        <f t="shared" ref="W5:W35" si="13">W4+(1/6*T5+2/3*U5+1/3*V5)*B5</f>
        <v>7.9066666666666674E-2</v>
      </c>
      <c r="Y5">
        <f>E5</f>
        <v>0.08</v>
      </c>
      <c r="AC5">
        <f>-2*AI4</f>
        <v>-0.2</v>
      </c>
      <c r="AD5">
        <f t="shared" ref="AD5:AD35" si="14">-2*(AI4+AC5/4*B5)</f>
        <v>-0.19</v>
      </c>
      <c r="AE5">
        <f t="shared" ref="AE5:AE35" si="15">-2*(AI4+3/32*AC5*B5+9/32*AD5*B5)</f>
        <v>-0.18556250000000002</v>
      </c>
      <c r="AF5">
        <f t="shared" ref="AF5:AF35" si="16">-2*(AI4+1932/2197*AC5*B5-7200/2197*AD5*B5+7296/2197*AE5*B5)</f>
        <v>-0.16611160673645881</v>
      </c>
      <c r="AG5">
        <f t="shared" ref="AG5:AG35" si="17">-2*(AI4+439/216*AC5*B5-8*AD5*B5+3680/513*AE5*B5-845/4104*AF5*B5)</f>
        <v>-0.16331794871794869</v>
      </c>
      <c r="AH5">
        <f t="shared" ref="AH5:AH35" si="18">-2*(AI4-8/27*AC5*B5+2*AD5*B5-3544/2565*AE5*B5+1859/4104*AF5*B5-11/40*AG5*B5)</f>
        <v>-0.18106300000000003</v>
      </c>
      <c r="AI5">
        <f>AJ5</f>
        <v>8.1873069743589738E-2</v>
      </c>
      <c r="AJ5">
        <f t="shared" ref="AJ5:AJ35" si="19">AI4+(16/135*AC5+0*AD5+6656/12825*AE5+28561/56430*AF5-9/50*AG5+2/55*AH5)*B5</f>
        <v>8.1873069743589738E-2</v>
      </c>
      <c r="AK5">
        <f t="shared" ref="AK5:AK35" si="20">AI4+(25/216*AC5+0*AD5+1408/2565*AE5+2197/4104*AF5-1/5*AG5+0*AH5)*B5</f>
        <v>8.1873025641025637E-2</v>
      </c>
    </row>
    <row r="6" spans="1:37" x14ac:dyDescent="0.25">
      <c r="A6">
        <f t="shared" ref="A6:A35" si="21">A5+0.1</f>
        <v>0.2</v>
      </c>
      <c r="B6">
        <f t="shared" si="0"/>
        <v>0.1</v>
      </c>
      <c r="D6">
        <f t="shared" ref="D6:D35" si="22">(EXP(-2*A6)+2*EXP(-2*A6))*0.1/3</f>
        <v>6.7032004603563927E-2</v>
      </c>
      <c r="E6">
        <f t="shared" si="1"/>
        <v>6.4000000000000001E-2</v>
      </c>
      <c r="F6">
        <f t="shared" si="2"/>
        <v>7.0527999999999993E-2</v>
      </c>
      <c r="G6">
        <f t="shared" si="3"/>
        <v>6.9222400000000003E-2</v>
      </c>
      <c r="H6">
        <f t="shared" si="4"/>
        <v>6.9483519999999993E-2</v>
      </c>
      <c r="I6">
        <f t="shared" si="5"/>
        <v>6.9431296000000003E-2</v>
      </c>
      <c r="J6">
        <f t="shared" ref="J6:J35" si="23">AVERAGE(I6,E6)</f>
        <v>6.6715648000000002E-2</v>
      </c>
      <c r="K6">
        <f t="shared" ref="K6:K35" si="24">E6</f>
        <v>6.4000000000000001E-2</v>
      </c>
      <c r="L6">
        <f t="shared" si="6"/>
        <v>6.7400000000000002E-2</v>
      </c>
      <c r="N6">
        <f t="shared" ref="N6:N35" si="25">-2*R5</f>
        <v>-0.16374666666666668</v>
      </c>
      <c r="O6">
        <f t="shared" si="7"/>
        <v>-0.147372</v>
      </c>
      <c r="P6">
        <f t="shared" si="8"/>
        <v>-0.14900946666666667</v>
      </c>
      <c r="Q6">
        <f t="shared" si="9"/>
        <v>-0.13394477333333335</v>
      </c>
      <c r="R6">
        <f t="shared" si="10"/>
        <v>6.7032427111111112E-2</v>
      </c>
      <c r="T6">
        <f t="shared" ref="T6:T35" si="26">-2*W5</f>
        <v>-0.15813333333333335</v>
      </c>
      <c r="U6">
        <f t="shared" si="11"/>
        <v>-0.14232</v>
      </c>
      <c r="V6">
        <f t="shared" si="12"/>
        <v>-0.13283200000000001</v>
      </c>
      <c r="W6">
        <f t="shared" si="13"/>
        <v>6.2515377777777784E-2</v>
      </c>
      <c r="Y6">
        <f>E6</f>
        <v>6.4000000000000001E-2</v>
      </c>
      <c r="AC6">
        <f t="shared" ref="AC6:AC35" si="27">-2*AI5</f>
        <v>-0.16374613948717948</v>
      </c>
      <c r="AD6">
        <f t="shared" si="14"/>
        <v>-0.15555883251282049</v>
      </c>
      <c r="AE6">
        <f t="shared" si="15"/>
        <v>-0.15192571504294872</v>
      </c>
      <c r="AF6">
        <f t="shared" si="16"/>
        <v>-0.13600067163553842</v>
      </c>
      <c r="AG6">
        <f t="shared" si="17"/>
        <v>-0.13371341805764625</v>
      </c>
      <c r="AH6">
        <f t="shared" si="18"/>
        <v>-0.14824183626983586</v>
      </c>
      <c r="AI6">
        <f t="shared" ref="AI6:AI35" si="28">AJ6</f>
        <v>6.70319954923871E-2</v>
      </c>
      <c r="AJ6">
        <f t="shared" si="19"/>
        <v>6.70319954923871E-2</v>
      </c>
      <c r="AK6">
        <f t="shared" si="20"/>
        <v>6.7031959384264039E-2</v>
      </c>
    </row>
    <row r="7" spans="1:37" x14ac:dyDescent="0.25">
      <c r="A7">
        <f t="shared" si="21"/>
        <v>0.30000000000000004</v>
      </c>
      <c r="B7">
        <f t="shared" si="0"/>
        <v>0.10000000000000003</v>
      </c>
      <c r="D7">
        <f t="shared" si="22"/>
        <v>5.4881163609402643E-2</v>
      </c>
      <c r="E7">
        <f t="shared" si="1"/>
        <v>5.1199999999999996E-2</v>
      </c>
      <c r="F7">
        <f t="shared" si="2"/>
        <v>5.9191296000000004E-2</v>
      </c>
      <c r="G7">
        <f t="shared" si="3"/>
        <v>5.7593036799999997E-2</v>
      </c>
      <c r="H7">
        <f t="shared" si="4"/>
        <v>5.7912688640000001E-2</v>
      </c>
      <c r="I7">
        <f t="shared" si="5"/>
        <v>5.7848758271999999E-2</v>
      </c>
      <c r="J7">
        <f t="shared" si="23"/>
        <v>5.4524379136000001E-2</v>
      </c>
      <c r="K7">
        <f t="shared" si="24"/>
        <v>5.1199999999999996E-2</v>
      </c>
      <c r="L7">
        <f t="shared" si="6"/>
        <v>5.5539999999999999E-2</v>
      </c>
      <c r="N7">
        <f t="shared" si="25"/>
        <v>-0.13406485422222222</v>
      </c>
      <c r="O7">
        <f t="shared" si="7"/>
        <v>-0.1206583688</v>
      </c>
      <c r="P7">
        <f t="shared" si="8"/>
        <v>-0.12199901734222222</v>
      </c>
      <c r="Q7">
        <f t="shared" si="9"/>
        <v>-0.10966505075377778</v>
      </c>
      <c r="R7">
        <f t="shared" si="10"/>
        <v>5.4881682490103702E-2</v>
      </c>
      <c r="T7">
        <f t="shared" si="26"/>
        <v>-0.12503075555555557</v>
      </c>
      <c r="U7">
        <f t="shared" si="11"/>
        <v>-0.11252768</v>
      </c>
      <c r="V7">
        <f t="shared" si="12"/>
        <v>-0.10502583466666668</v>
      </c>
      <c r="W7">
        <f t="shared" si="13"/>
        <v>4.9428825362962961E-2</v>
      </c>
      <c r="Y7">
        <f>E7</f>
        <v>5.1199999999999996E-2</v>
      </c>
      <c r="AC7">
        <f t="shared" si="27"/>
        <v>-0.1340639909847742</v>
      </c>
      <c r="AD7">
        <f t="shared" si="14"/>
        <v>-0.1273607914355355</v>
      </c>
      <c r="AE7">
        <f t="shared" si="15"/>
        <v>-0.1243862466355608</v>
      </c>
      <c r="AF7">
        <f t="shared" si="16"/>
        <v>-0.11134792473991488</v>
      </c>
      <c r="AG7">
        <f t="shared" si="17"/>
        <v>-0.10947528002287446</v>
      </c>
      <c r="AH7">
        <f t="shared" si="18"/>
        <v>-0.12137014199838085</v>
      </c>
      <c r="AI7">
        <f t="shared" si="28"/>
        <v>5.4881152420002022E-2</v>
      </c>
      <c r="AJ7">
        <f t="shared" si="19"/>
        <v>5.4881152420002022E-2</v>
      </c>
      <c r="AK7">
        <f t="shared" si="20"/>
        <v>5.488112285717324E-2</v>
      </c>
    </row>
    <row r="8" spans="1:37" x14ac:dyDescent="0.25">
      <c r="A8">
        <f t="shared" si="21"/>
        <v>0.4</v>
      </c>
      <c r="B8">
        <f t="shared" si="0"/>
        <v>9.9999999999999978E-2</v>
      </c>
      <c r="D8">
        <f t="shared" si="22"/>
        <v>4.4932896411722156E-2</v>
      </c>
      <c r="E8">
        <f t="shared" si="1"/>
        <v>4.0959999999999996E-2</v>
      </c>
      <c r="F8">
        <f t="shared" si="2"/>
        <v>4.9656758272000001E-2</v>
      </c>
      <c r="G8">
        <f t="shared" si="3"/>
        <v>4.7917406617600002E-2</v>
      </c>
      <c r="H8">
        <f t="shared" si="4"/>
        <v>4.8265276948479999E-2</v>
      </c>
      <c r="I8">
        <f t="shared" si="5"/>
        <v>4.8195702882304001E-2</v>
      </c>
      <c r="J8">
        <f t="shared" si="23"/>
        <v>4.4577851441151999E-2</v>
      </c>
      <c r="K8">
        <f t="shared" si="24"/>
        <v>4.0959999999999996E-2</v>
      </c>
      <c r="L8">
        <f t="shared" si="6"/>
        <v>4.589E-2</v>
      </c>
      <c r="N8">
        <f t="shared" si="25"/>
        <v>-0.1097633649802074</v>
      </c>
      <c r="O8">
        <f t="shared" si="7"/>
        <v>-9.8787028482186665E-2</v>
      </c>
      <c r="P8">
        <f t="shared" si="8"/>
        <v>-9.9884662131988738E-2</v>
      </c>
      <c r="Q8">
        <f t="shared" si="9"/>
        <v>-8.9786432553809664E-2</v>
      </c>
      <c r="R8">
        <f t="shared" si="10"/>
        <v>4.4933462844064243E-2</v>
      </c>
      <c r="T8">
        <f t="shared" si="26"/>
        <v>-9.8857650725925922E-2</v>
      </c>
      <c r="U8">
        <f t="shared" si="11"/>
        <v>-8.8971885653333332E-2</v>
      </c>
      <c r="V8">
        <f t="shared" si="12"/>
        <v>-8.3040426609777784E-2</v>
      </c>
      <c r="W8">
        <f t="shared" si="13"/>
        <v>3.9081724586982718E-2</v>
      </c>
      <c r="Y8">
        <f t="shared" ref="Y8:Y35" si="29">Y7+B8/24*(55*(-2)*Y7-59*(-2)*Y6+37*(-2)*Y5-9*(-2)*Y4)</f>
        <v>4.2033333333333332E-2</v>
      </c>
      <c r="AC8">
        <f t="shared" si="27"/>
        <v>-0.10976230484000404</v>
      </c>
      <c r="AD8">
        <f t="shared" si="14"/>
        <v>-0.10427418959800384</v>
      </c>
      <c r="AE8">
        <f t="shared" si="15"/>
        <v>-0.10183883845936625</v>
      </c>
      <c r="AF8">
        <f t="shared" si="16"/>
        <v>-9.1163964080350324E-2</v>
      </c>
      <c r="AG8">
        <f t="shared" si="17"/>
        <v>-8.9630772365118183E-2</v>
      </c>
      <c r="AH8">
        <f t="shared" si="18"/>
        <v>-9.9369461006228274E-2</v>
      </c>
      <c r="AI8">
        <f t="shared" si="28"/>
        <v>4.4932884196914047E-2</v>
      </c>
      <c r="AJ8">
        <f t="shared" si="19"/>
        <v>4.4932884196914047E-2</v>
      </c>
      <c r="AK8">
        <f t="shared" si="20"/>
        <v>4.4932859992918621E-2</v>
      </c>
    </row>
    <row r="9" spans="1:37" x14ac:dyDescent="0.25">
      <c r="A9">
        <f t="shared" si="21"/>
        <v>0.5</v>
      </c>
      <c r="B9">
        <f t="shared" si="0"/>
        <v>9.9999999999999978E-2</v>
      </c>
      <c r="D9">
        <f t="shared" si="22"/>
        <v>3.6787944117144235E-2</v>
      </c>
      <c r="E9">
        <f t="shared" si="1"/>
        <v>3.2767999999999999E-2</v>
      </c>
      <c r="F9">
        <f t="shared" si="2"/>
        <v>4.1642102882304001E-2</v>
      </c>
      <c r="G9">
        <f t="shared" si="3"/>
        <v>3.9867282305843202E-2</v>
      </c>
      <c r="H9">
        <f t="shared" si="4"/>
        <v>4.0222246421135366E-2</v>
      </c>
      <c r="I9">
        <f t="shared" si="5"/>
        <v>4.0151253598076933E-2</v>
      </c>
      <c r="J9">
        <f t="shared" si="23"/>
        <v>3.6459626799038469E-2</v>
      </c>
      <c r="K9">
        <f t="shared" si="24"/>
        <v>3.2767999999999999E-2</v>
      </c>
      <c r="L9">
        <f t="shared" si="6"/>
        <v>3.8024200000000001E-2</v>
      </c>
      <c r="N9">
        <f t="shared" si="25"/>
        <v>-8.9866925688128485E-2</v>
      </c>
      <c r="O9">
        <f t="shared" si="7"/>
        <v>-8.0880233119315637E-2</v>
      </c>
      <c r="P9">
        <f t="shared" si="8"/>
        <v>-8.1778902376196921E-2</v>
      </c>
      <c r="Q9">
        <f t="shared" si="9"/>
        <v>-7.3511145212889109E-2</v>
      </c>
      <c r="R9">
        <f t="shared" si="10"/>
        <v>3.6788523812530199E-2</v>
      </c>
      <c r="T9">
        <f t="shared" si="26"/>
        <v>-7.8163449173965435E-2</v>
      </c>
      <c r="U9">
        <f t="shared" si="11"/>
        <v>-7.0347104256568899E-2</v>
      </c>
      <c r="V9">
        <f t="shared" si="12"/>
        <v>-6.5657297306130971E-2</v>
      </c>
      <c r="W9">
        <f t="shared" si="13"/>
        <v>3.0900616906774335E-2</v>
      </c>
      <c r="Y9">
        <f t="shared" si="29"/>
        <v>3.4208055555555554E-2</v>
      </c>
      <c r="AC9">
        <f t="shared" si="27"/>
        <v>-8.9865768393828094E-2</v>
      </c>
      <c r="AD9">
        <f t="shared" si="14"/>
        <v>-8.5372479974136689E-2</v>
      </c>
      <c r="AE9">
        <f t="shared" si="15"/>
        <v>-8.3378583237898637E-2</v>
      </c>
      <c r="AF9">
        <f t="shared" si="16"/>
        <v>-7.4638735892526314E-2</v>
      </c>
      <c r="AG9">
        <f t="shared" si="17"/>
        <v>-7.3383464770211362E-2</v>
      </c>
      <c r="AH9">
        <f t="shared" si="18"/>
        <v>-8.1356828113458485E-2</v>
      </c>
      <c r="AI9">
        <f t="shared" si="28"/>
        <v>3.6787931616345852E-2</v>
      </c>
      <c r="AJ9">
        <f t="shared" si="19"/>
        <v>3.6787931616345852E-2</v>
      </c>
      <c r="AK9">
        <f t="shared" si="20"/>
        <v>3.6787911799791795E-2</v>
      </c>
    </row>
    <row r="10" spans="1:37" x14ac:dyDescent="0.25">
      <c r="A10">
        <f t="shared" si="21"/>
        <v>0.6</v>
      </c>
      <c r="B10">
        <f t="shared" si="0"/>
        <v>9.9999999999999978E-2</v>
      </c>
      <c r="D10">
        <f t="shared" si="22"/>
        <v>3.0119421191220214E-2</v>
      </c>
      <c r="E10">
        <f t="shared" si="1"/>
        <v>2.6214399999999999E-2</v>
      </c>
      <c r="F10">
        <f t="shared" si="2"/>
        <v>3.4908373598076935E-2</v>
      </c>
      <c r="G10">
        <f t="shared" si="3"/>
        <v>3.3169578878461545E-2</v>
      </c>
      <c r="H10">
        <f t="shared" si="4"/>
        <v>3.3517337822384627E-2</v>
      </c>
      <c r="I10">
        <f t="shared" si="5"/>
        <v>3.3447786033600012E-2</v>
      </c>
      <c r="J10">
        <f t="shared" si="23"/>
        <v>2.9831093016800005E-2</v>
      </c>
      <c r="K10">
        <f t="shared" si="24"/>
        <v>2.6214399999999999E-2</v>
      </c>
      <c r="L10">
        <f t="shared" si="6"/>
        <v>3.1600340000000005E-2</v>
      </c>
      <c r="N10">
        <f t="shared" si="25"/>
        <v>-7.3577047625060399E-2</v>
      </c>
      <c r="O10">
        <f t="shared" si="7"/>
        <v>-6.6219342862554362E-2</v>
      </c>
      <c r="P10">
        <f t="shared" si="8"/>
        <v>-6.6955113338804967E-2</v>
      </c>
      <c r="Q10">
        <f t="shared" si="9"/>
        <v>-6.0186024957299411E-2</v>
      </c>
      <c r="R10">
        <f t="shared" si="10"/>
        <v>3.0119990729445559E-2</v>
      </c>
      <c r="T10">
        <f t="shared" si="26"/>
        <v>-6.180123381354867E-2</v>
      </c>
      <c r="U10">
        <f t="shared" si="11"/>
        <v>-5.5621110432193803E-2</v>
      </c>
      <c r="V10">
        <f t="shared" si="12"/>
        <v>-5.1913036403380887E-2</v>
      </c>
      <c r="W10">
        <f t="shared" si="13"/>
        <v>2.4432087767622908E-2</v>
      </c>
      <c r="Y10">
        <f t="shared" si="29"/>
        <v>2.8209085648148148E-2</v>
      </c>
      <c r="AC10">
        <f t="shared" si="27"/>
        <v>-7.3575863232691704E-2</v>
      </c>
      <c r="AD10">
        <f t="shared" si="14"/>
        <v>-6.9897070071057124E-2</v>
      </c>
      <c r="AE10">
        <f t="shared" si="15"/>
        <v>-6.8264605605581771E-2</v>
      </c>
      <c r="AF10">
        <f t="shared" si="16"/>
        <v>-6.110902429302182E-2</v>
      </c>
      <c r="AG10">
        <f t="shared" si="17"/>
        <v>-6.0081295291577783E-2</v>
      </c>
      <c r="AH10">
        <f t="shared" si="18"/>
        <v>-6.6609332622504291E-2</v>
      </c>
      <c r="AI10">
        <f t="shared" si="28"/>
        <v>3.0119408909474944E-2</v>
      </c>
      <c r="AJ10">
        <f t="shared" si="19"/>
        <v>3.0119408909474944E-2</v>
      </c>
      <c r="AK10">
        <f t="shared" si="20"/>
        <v>3.0119392685053821E-2</v>
      </c>
    </row>
    <row r="11" spans="1:37" x14ac:dyDescent="0.25">
      <c r="A11">
        <f t="shared" si="21"/>
        <v>0.7</v>
      </c>
      <c r="B11">
        <f t="shared" si="0"/>
        <v>9.9999999999999978E-2</v>
      </c>
      <c r="D11">
        <f t="shared" si="22"/>
        <v>2.4659696394160654E-2</v>
      </c>
      <c r="E11">
        <f t="shared" si="1"/>
        <v>2.097152E-2</v>
      </c>
      <c r="F11">
        <f t="shared" si="2"/>
        <v>2.9253482033600012E-2</v>
      </c>
      <c r="G11">
        <f t="shared" si="3"/>
        <v>2.7597089626880011E-2</v>
      </c>
      <c r="H11">
        <f t="shared" si="4"/>
        <v>2.7928368108224012E-2</v>
      </c>
      <c r="I11">
        <f t="shared" si="5"/>
        <v>2.7862112411955211E-2</v>
      </c>
      <c r="J11">
        <f t="shared" si="23"/>
        <v>2.4416816205977604E-2</v>
      </c>
      <c r="K11">
        <f t="shared" si="24"/>
        <v>2.097152E-2</v>
      </c>
      <c r="L11">
        <f t="shared" si="6"/>
        <v>2.6343154000000004E-2</v>
      </c>
      <c r="N11">
        <f t="shared" si="25"/>
        <v>-6.0239981458891118E-2</v>
      </c>
      <c r="O11">
        <f t="shared" si="7"/>
        <v>-5.4215983313002009E-2</v>
      </c>
      <c r="P11">
        <f t="shared" si="8"/>
        <v>-5.4818383127590915E-2</v>
      </c>
      <c r="Q11">
        <f t="shared" si="9"/>
        <v>-4.9276304833372933E-2</v>
      </c>
      <c r="R11">
        <f t="shared" si="10"/>
        <v>2.4660240409888061E-2</v>
      </c>
      <c r="T11">
        <f t="shared" si="26"/>
        <v>-4.8864175535245816E-2</v>
      </c>
      <c r="U11">
        <f t="shared" si="11"/>
        <v>-4.3977757981721238E-2</v>
      </c>
      <c r="V11">
        <f t="shared" si="12"/>
        <v>-4.1045907449606484E-2</v>
      </c>
      <c r="W11">
        <f t="shared" si="13"/>
        <v>1.9317637394933848E-2</v>
      </c>
      <c r="Y11">
        <f t="shared" si="29"/>
        <v>2.2978604263117285E-2</v>
      </c>
      <c r="AC11">
        <f t="shared" si="27"/>
        <v>-6.0238817818949887E-2</v>
      </c>
      <c r="AD11">
        <f t="shared" si="14"/>
        <v>-5.7226876928002393E-2</v>
      </c>
      <c r="AE11">
        <f t="shared" si="15"/>
        <v>-5.5890328157644442E-2</v>
      </c>
      <c r="AF11">
        <f t="shared" si="16"/>
        <v>-5.0031834079052956E-2</v>
      </c>
      <c r="AG11">
        <f t="shared" si="17"/>
        <v>-4.9190400796925569E-2</v>
      </c>
      <c r="AH11">
        <f t="shared" si="18"/>
        <v>-5.453510535376261E-2</v>
      </c>
      <c r="AI11">
        <f t="shared" si="28"/>
        <v>2.4659684662811404E-2</v>
      </c>
      <c r="AJ11">
        <f t="shared" si="19"/>
        <v>2.4659684662811404E-2</v>
      </c>
      <c r="AK11">
        <f t="shared" si="20"/>
        <v>2.4659671379379782E-2</v>
      </c>
    </row>
    <row r="12" spans="1:37" x14ac:dyDescent="0.25">
      <c r="A12">
        <f t="shared" si="21"/>
        <v>0.79999999999999993</v>
      </c>
      <c r="B12">
        <f t="shared" si="0"/>
        <v>9.9999999999999978E-2</v>
      </c>
      <c r="D12">
        <f t="shared" si="22"/>
        <v>2.0189651799465542E-2</v>
      </c>
      <c r="E12">
        <f t="shared" si="1"/>
        <v>1.6777216000000001E-2</v>
      </c>
      <c r="F12">
        <f t="shared" si="2"/>
        <v>2.4506669211955212E-2</v>
      </c>
      <c r="G12">
        <f t="shared" si="3"/>
        <v>2.2960778569564168E-2</v>
      </c>
      <c r="H12">
        <f t="shared" si="4"/>
        <v>2.3269956698042379E-2</v>
      </c>
      <c r="I12">
        <f t="shared" si="5"/>
        <v>2.3208121072346738E-2</v>
      </c>
      <c r="J12">
        <f t="shared" si="23"/>
        <v>1.9992668536173368E-2</v>
      </c>
      <c r="K12">
        <f t="shared" si="24"/>
        <v>1.6777216000000001E-2</v>
      </c>
      <c r="L12">
        <f t="shared" si="6"/>
        <v>2.2031117000000003E-2</v>
      </c>
      <c r="N12">
        <f t="shared" si="25"/>
        <v>-4.9320480819776122E-2</v>
      </c>
      <c r="O12">
        <f t="shared" si="7"/>
        <v>-4.4388432737798508E-2</v>
      </c>
      <c r="P12">
        <f t="shared" si="8"/>
        <v>-4.4881637545996271E-2</v>
      </c>
      <c r="Q12">
        <f t="shared" si="9"/>
        <v>-4.034415331057687E-2</v>
      </c>
      <c r="R12">
        <f t="shared" si="10"/>
        <v>2.0190160831589019E-2</v>
      </c>
      <c r="T12">
        <f t="shared" si="26"/>
        <v>-3.8635274789867696E-2</v>
      </c>
      <c r="U12">
        <f t="shared" si="11"/>
        <v>-3.4771747310880924E-2</v>
      </c>
      <c r="V12">
        <f t="shared" si="12"/>
        <v>-3.2453630823488872E-2</v>
      </c>
      <c r="W12">
        <f t="shared" si="13"/>
        <v>1.5273811966927696E-2</v>
      </c>
      <c r="Y12">
        <f t="shared" si="29"/>
        <v>1.8921227289898406E-2</v>
      </c>
      <c r="AC12">
        <f t="shared" si="27"/>
        <v>-4.9319369325622808E-2</v>
      </c>
      <c r="AD12">
        <f t="shared" si="14"/>
        <v>-4.6853400859341671E-2</v>
      </c>
      <c r="AE12">
        <f t="shared" si="15"/>
        <v>-4.5759127352429409E-2</v>
      </c>
      <c r="AF12">
        <f t="shared" si="16"/>
        <v>-4.0962598409540127E-2</v>
      </c>
      <c r="AG12">
        <f t="shared" si="17"/>
        <v>-4.0273691151618191E-2</v>
      </c>
      <c r="AH12">
        <f t="shared" si="18"/>
        <v>-4.464956484102621E-2</v>
      </c>
      <c r="AI12">
        <f t="shared" si="28"/>
        <v>2.0189640822532884E-2</v>
      </c>
      <c r="AJ12">
        <f t="shared" si="19"/>
        <v>2.0189640822532884E-2</v>
      </c>
      <c r="AK12">
        <f t="shared" si="20"/>
        <v>2.0189629946979648E-2</v>
      </c>
    </row>
    <row r="13" spans="1:37" x14ac:dyDescent="0.25">
      <c r="A13">
        <f t="shared" si="21"/>
        <v>0.89999999999999991</v>
      </c>
      <c r="B13">
        <f t="shared" si="0"/>
        <v>9.9999999999999978E-2</v>
      </c>
      <c r="D13">
        <f t="shared" si="22"/>
        <v>1.6529888822158657E-2</v>
      </c>
      <c r="E13">
        <f t="shared" si="1"/>
        <v>1.3421772800000002E-2</v>
      </c>
      <c r="F13">
        <f t="shared" si="2"/>
        <v>2.0523766512346737E-2</v>
      </c>
      <c r="G13">
        <f t="shared" si="3"/>
        <v>1.9103367769877391E-2</v>
      </c>
      <c r="H13">
        <f t="shared" si="4"/>
        <v>1.9387447518371261E-2</v>
      </c>
      <c r="I13">
        <f t="shared" si="5"/>
        <v>1.9330631568672485E-2</v>
      </c>
      <c r="J13">
        <f t="shared" si="23"/>
        <v>1.6376202184336244E-2</v>
      </c>
      <c r="K13">
        <f t="shared" si="24"/>
        <v>1.3421772800000002E-2</v>
      </c>
      <c r="L13">
        <f t="shared" si="6"/>
        <v>1.8485828020000004E-2</v>
      </c>
      <c r="N13">
        <f t="shared" si="25"/>
        <v>-4.0380321663178037E-2</v>
      </c>
      <c r="O13">
        <f t="shared" si="7"/>
        <v>-3.6342289496860233E-2</v>
      </c>
      <c r="P13">
        <f t="shared" si="8"/>
        <v>-3.6746092713492017E-2</v>
      </c>
      <c r="Q13">
        <f t="shared" si="9"/>
        <v>-3.3031103120479632E-2</v>
      </c>
      <c r="R13">
        <f t="shared" si="10"/>
        <v>1.6530357678182984E-2</v>
      </c>
      <c r="T13">
        <f t="shared" si="26"/>
        <v>-3.0547623933855392E-2</v>
      </c>
      <c r="U13">
        <f t="shared" si="11"/>
        <v>-2.7492861540469853E-2</v>
      </c>
      <c r="V13">
        <f t="shared" si="12"/>
        <v>-2.5660004104438527E-2</v>
      </c>
      <c r="W13">
        <f t="shared" si="13"/>
        <v>1.2076493995184165E-2</v>
      </c>
      <c r="Y13">
        <f t="shared" si="29"/>
        <v>1.5414614636548623E-2</v>
      </c>
      <c r="AC13">
        <f t="shared" si="27"/>
        <v>-4.0379281645065768E-2</v>
      </c>
      <c r="AD13">
        <f t="shared" si="14"/>
        <v>-3.8360317562812482E-2</v>
      </c>
      <c r="AE13">
        <f t="shared" si="15"/>
        <v>-3.7464402251312583E-2</v>
      </c>
      <c r="AF13">
        <f t="shared" si="16"/>
        <v>-3.3537336764629375E-2</v>
      </c>
      <c r="AG13">
        <f t="shared" si="17"/>
        <v>-3.2973307244882316E-2</v>
      </c>
      <c r="AH13">
        <f t="shared" si="18"/>
        <v>-3.6555969362502716E-2</v>
      </c>
      <c r="AI13">
        <f t="shared" si="28"/>
        <v>1.6529878711612614E-2</v>
      </c>
      <c r="AJ13">
        <f t="shared" si="19"/>
        <v>1.6529878711612614E-2</v>
      </c>
      <c r="AK13">
        <f t="shared" si="20"/>
        <v>1.6529869807463328E-2</v>
      </c>
    </row>
    <row r="14" spans="1:37" x14ac:dyDescent="0.25">
      <c r="A14">
        <f t="shared" si="21"/>
        <v>0.99999999999999989</v>
      </c>
      <c r="B14">
        <f t="shared" si="0"/>
        <v>9.9999999999999978E-2</v>
      </c>
      <c r="D14">
        <f t="shared" si="22"/>
        <v>1.3533528323661274E-2</v>
      </c>
      <c r="E14">
        <f t="shared" si="1"/>
        <v>1.0737418240000003E-2</v>
      </c>
      <c r="F14">
        <f t="shared" si="2"/>
        <v>1.7183147920672485E-2</v>
      </c>
      <c r="G14">
        <f t="shared" si="3"/>
        <v>1.5894001984537987E-2</v>
      </c>
      <c r="H14">
        <f t="shared" si="4"/>
        <v>1.6151831171764889E-2</v>
      </c>
      <c r="I14">
        <f t="shared" si="5"/>
        <v>1.6100265334319509E-2</v>
      </c>
      <c r="J14">
        <f t="shared" si="23"/>
        <v>1.3418841787159755E-2</v>
      </c>
      <c r="K14">
        <f t="shared" si="24"/>
        <v>1.0737418240000003E-2</v>
      </c>
      <c r="L14">
        <f t="shared" si="6"/>
        <v>1.5563503394000004E-2</v>
      </c>
      <c r="N14">
        <f t="shared" si="25"/>
        <v>-3.3060715356365969E-2</v>
      </c>
      <c r="O14">
        <f t="shared" si="7"/>
        <v>-2.9754643820729374E-2</v>
      </c>
      <c r="P14">
        <f t="shared" si="8"/>
        <v>-3.0085250974293033E-2</v>
      </c>
      <c r="Q14">
        <f t="shared" si="9"/>
        <v>-2.7043665161507364E-2</v>
      </c>
      <c r="R14">
        <f t="shared" si="10"/>
        <v>1.3533954843051015E-2</v>
      </c>
      <c r="T14">
        <f t="shared" si="26"/>
        <v>-2.415298799036833E-2</v>
      </c>
      <c r="U14">
        <f t="shared" si="11"/>
        <v>-2.1737689191331497E-2</v>
      </c>
      <c r="V14">
        <f t="shared" si="12"/>
        <v>-2.0288509911909398E-2</v>
      </c>
      <c r="W14">
        <f t="shared" si="13"/>
        <v>9.5484812521922802E-3</v>
      </c>
      <c r="Y14">
        <f t="shared" si="29"/>
        <v>1.2683131454813836E-2</v>
      </c>
      <c r="AC14">
        <f t="shared" si="27"/>
        <v>-3.3059757423225228E-2</v>
      </c>
      <c r="AD14">
        <f t="shared" si="14"/>
        <v>-3.1406769552063965E-2</v>
      </c>
      <c r="AE14">
        <f t="shared" si="15"/>
        <v>-3.0673256184236154E-2</v>
      </c>
      <c r="AF14">
        <f t="shared" si="16"/>
        <v>-2.7458047119447576E-2</v>
      </c>
      <c r="AG14">
        <f t="shared" si="17"/>
        <v>-2.6996258837370619E-2</v>
      </c>
      <c r="AH14">
        <f t="shared" si="18"/>
        <v>-2.9929494291607146E-2</v>
      </c>
      <c r="AI14">
        <f t="shared" si="28"/>
        <v>1.353351912608939E-2</v>
      </c>
      <c r="AJ14">
        <f t="shared" si="19"/>
        <v>1.353351912608939E-2</v>
      </c>
      <c r="AK14">
        <f t="shared" si="20"/>
        <v>1.3533511835989035E-2</v>
      </c>
    </row>
    <row r="15" spans="1:37" x14ac:dyDescent="0.25">
      <c r="A15">
        <f t="shared" si="21"/>
        <v>1.0999999999999999</v>
      </c>
      <c r="B15">
        <f t="shared" si="0"/>
        <v>9.9999999999999978E-2</v>
      </c>
      <c r="D15">
        <f t="shared" si="22"/>
        <v>1.1080315836233394E-2</v>
      </c>
      <c r="E15">
        <f t="shared" si="1"/>
        <v>8.5899345920000033E-3</v>
      </c>
      <c r="F15">
        <f t="shared" si="2"/>
        <v>1.4382278415919509E-2</v>
      </c>
      <c r="G15">
        <f t="shared" si="3"/>
        <v>1.3223809651135607E-2</v>
      </c>
      <c r="H15">
        <f t="shared" si="4"/>
        <v>1.3455503404092389E-2</v>
      </c>
      <c r="I15">
        <f t="shared" si="5"/>
        <v>1.3409164653501032E-2</v>
      </c>
      <c r="J15">
        <f t="shared" si="23"/>
        <v>1.0999549622750519E-2</v>
      </c>
      <c r="K15">
        <f t="shared" si="24"/>
        <v>8.5899345920000033E-3</v>
      </c>
      <c r="L15">
        <f t="shared" si="6"/>
        <v>1.3148159595400003E-2</v>
      </c>
      <c r="N15">
        <f t="shared" si="25"/>
        <v>-2.706790968610203E-2</v>
      </c>
      <c r="O15">
        <f t="shared" si="7"/>
        <v>-2.4361118717491827E-2</v>
      </c>
      <c r="P15">
        <f t="shared" si="8"/>
        <v>-2.4631797814352849E-2</v>
      </c>
      <c r="Q15">
        <f t="shared" si="9"/>
        <v>-2.2141550123231463E-2</v>
      </c>
      <c r="R15">
        <f t="shared" si="10"/>
        <v>1.1080699961833968E-2</v>
      </c>
      <c r="T15">
        <f t="shared" si="26"/>
        <v>-1.909696250438456E-2</v>
      </c>
      <c r="U15">
        <f t="shared" si="11"/>
        <v>-1.7187266253946103E-2</v>
      </c>
      <c r="V15">
        <f t="shared" si="12"/>
        <v>-1.6041448503683033E-2</v>
      </c>
      <c r="W15">
        <f t="shared" si="13"/>
        <v>7.54966584340003E-3</v>
      </c>
      <c r="Y15">
        <f t="shared" si="29"/>
        <v>1.0338231973009022E-2</v>
      </c>
      <c r="AC15">
        <f t="shared" si="27"/>
        <v>-2.7067038252178779E-2</v>
      </c>
      <c r="AD15">
        <f t="shared" si="14"/>
        <v>-2.571368633956984E-2</v>
      </c>
      <c r="AE15">
        <f t="shared" si="15"/>
        <v>-2.5113136428349624E-2</v>
      </c>
      <c r="AF15">
        <f t="shared" si="16"/>
        <v>-2.2480746068333047E-2</v>
      </c>
      <c r="AG15">
        <f t="shared" si="17"/>
        <v>-2.2102665826080451E-2</v>
      </c>
      <c r="AH15">
        <f t="shared" si="18"/>
        <v>-2.4504195735271232E-2</v>
      </c>
      <c r="AI15">
        <f t="shared" si="28"/>
        <v>1.1080307552865223E-2</v>
      </c>
      <c r="AJ15">
        <f t="shared" si="19"/>
        <v>1.1080307552865223E-2</v>
      </c>
      <c r="AK15">
        <f t="shared" si="20"/>
        <v>1.1080301584236275E-2</v>
      </c>
    </row>
    <row r="16" spans="1:37" x14ac:dyDescent="0.25">
      <c r="A16">
        <f t="shared" si="21"/>
        <v>1.2</v>
      </c>
      <c r="B16">
        <f t="shared" si="0"/>
        <v>0.10000000000000009</v>
      </c>
      <c r="D16">
        <f t="shared" si="22"/>
        <v>9.0717953289412515E-3</v>
      </c>
      <c r="E16">
        <f t="shared" si="1"/>
        <v>6.8719476736000011E-3</v>
      </c>
      <c r="F16">
        <f t="shared" si="2"/>
        <v>1.2034775118781031E-2</v>
      </c>
      <c r="G16">
        <f t="shared" si="3"/>
        <v>1.1002209629744825E-2</v>
      </c>
      <c r="H16">
        <f t="shared" si="4"/>
        <v>1.1208722727552065E-2</v>
      </c>
      <c r="I16">
        <f t="shared" si="5"/>
        <v>1.1167420107990617E-2</v>
      </c>
      <c r="J16">
        <f t="shared" si="23"/>
        <v>9.0196838907953096E-3</v>
      </c>
      <c r="K16">
        <f t="shared" si="24"/>
        <v>6.8719476736000011E-3</v>
      </c>
      <c r="L16">
        <f t="shared" si="6"/>
        <v>1.1146148868500001E-2</v>
      </c>
      <c r="N16">
        <f t="shared" si="25"/>
        <v>-2.2161399923667936E-2</v>
      </c>
      <c r="O16">
        <f t="shared" si="7"/>
        <v>-1.994525993130114E-2</v>
      </c>
      <c r="P16">
        <f t="shared" si="8"/>
        <v>-2.0166873930537819E-2</v>
      </c>
      <c r="Q16">
        <f t="shared" si="9"/>
        <v>-1.8128025137560368E-2</v>
      </c>
      <c r="R16">
        <f t="shared" si="10"/>
        <v>9.0721384154188629E-3</v>
      </c>
      <c r="T16">
        <f t="shared" si="26"/>
        <v>-1.509933168680006E-2</v>
      </c>
      <c r="U16">
        <f t="shared" si="11"/>
        <v>-1.3589398518120053E-2</v>
      </c>
      <c r="V16">
        <f t="shared" si="12"/>
        <v>-1.2683438616912051E-2</v>
      </c>
      <c r="W16">
        <f t="shared" si="13"/>
        <v>5.9692691268482898E-3</v>
      </c>
      <c r="Y16">
        <f t="shared" si="29"/>
        <v>8.5020011511365758E-3</v>
      </c>
      <c r="AC16">
        <f t="shared" si="27"/>
        <v>-2.2160615105730447E-2</v>
      </c>
      <c r="AD16">
        <f t="shared" si="14"/>
        <v>-2.1052584350443923E-2</v>
      </c>
      <c r="AE16">
        <f t="shared" si="15"/>
        <v>-2.056089570278553E-2</v>
      </c>
      <c r="AF16">
        <f t="shared" si="16"/>
        <v>-1.8405676907405619E-2</v>
      </c>
      <c r="AG16">
        <f t="shared" si="17"/>
        <v>-1.8096131006979422E-2</v>
      </c>
      <c r="AH16">
        <f t="shared" si="18"/>
        <v>-2.0062337264444362E-2</v>
      </c>
      <c r="AI16">
        <f t="shared" si="28"/>
        <v>9.0717879305615839E-3</v>
      </c>
      <c r="AJ16">
        <f t="shared" si="19"/>
        <v>9.0717879305615839E-3</v>
      </c>
      <c r="AK16">
        <f t="shared" si="20"/>
        <v>9.0717830438618429E-3</v>
      </c>
    </row>
    <row r="17" spans="1:37" x14ac:dyDescent="0.25">
      <c r="A17">
        <f t="shared" si="21"/>
        <v>1.3</v>
      </c>
      <c r="B17">
        <f t="shared" si="0"/>
        <v>0.10000000000000009</v>
      </c>
      <c r="D17">
        <f t="shared" si="22"/>
        <v>7.4273578214333882E-3</v>
      </c>
      <c r="E17">
        <f t="shared" si="1"/>
        <v>5.4975581388799991E-3</v>
      </c>
      <c r="F17">
        <f t="shared" si="2"/>
        <v>1.0067908480214617E-2</v>
      </c>
      <c r="G17">
        <f t="shared" si="3"/>
        <v>9.1538384119476922E-3</v>
      </c>
      <c r="H17">
        <f t="shared" si="4"/>
        <v>9.3366524256010778E-3</v>
      </c>
      <c r="I17">
        <f t="shared" si="5"/>
        <v>9.3000896228704003E-3</v>
      </c>
      <c r="J17">
        <f t="shared" si="23"/>
        <v>7.3988238808751997E-3</v>
      </c>
      <c r="K17">
        <f t="shared" si="24"/>
        <v>5.4975581388799991E-3</v>
      </c>
      <c r="L17">
        <f t="shared" si="6"/>
        <v>9.4817781677619985E-3</v>
      </c>
      <c r="N17">
        <f t="shared" si="25"/>
        <v>-1.8144276830837726E-2</v>
      </c>
      <c r="O17">
        <f t="shared" si="7"/>
        <v>-1.6329849147753952E-2</v>
      </c>
      <c r="P17">
        <f t="shared" si="8"/>
        <v>-1.6511291916062328E-2</v>
      </c>
      <c r="Q17">
        <f t="shared" si="9"/>
        <v>-1.4842018447625258E-2</v>
      </c>
      <c r="R17">
        <f t="shared" si="10"/>
        <v>7.4276621253172694E-3</v>
      </c>
      <c r="T17">
        <f t="shared" si="26"/>
        <v>-1.193853825369658E-2</v>
      </c>
      <c r="U17">
        <f t="shared" si="11"/>
        <v>-1.074468442832692E-2</v>
      </c>
      <c r="V17">
        <f t="shared" si="12"/>
        <v>-1.0028372133105125E-2</v>
      </c>
      <c r="W17">
        <f t="shared" si="13"/>
        <v>4.7197021229613799E-3</v>
      </c>
      <c r="Y17">
        <f t="shared" si="29"/>
        <v>6.93367857610196E-3</v>
      </c>
      <c r="AC17">
        <f t="shared" si="27"/>
        <v>-1.8143575861123168E-2</v>
      </c>
      <c r="AD17">
        <f t="shared" si="14"/>
        <v>-1.7236397068067007E-2</v>
      </c>
      <c r="AE17">
        <f t="shared" si="15"/>
        <v>-1.6833836478648338E-2</v>
      </c>
      <c r="AF17">
        <f t="shared" si="16"/>
        <v>-1.5069292691179993E-2</v>
      </c>
      <c r="AG17">
        <f t="shared" si="17"/>
        <v>-1.4815857960235625E-2</v>
      </c>
      <c r="AH17">
        <f t="shared" si="18"/>
        <v>-1.6425651380712718E-2</v>
      </c>
      <c r="AI17">
        <f t="shared" si="28"/>
        <v>7.4273512593792407E-3</v>
      </c>
      <c r="AJ17">
        <f t="shared" si="19"/>
        <v>7.4273512593792407E-3</v>
      </c>
      <c r="AK17">
        <f t="shared" si="20"/>
        <v>7.4273472584881536E-3</v>
      </c>
    </row>
    <row r="18" spans="1:37" x14ac:dyDescent="0.25">
      <c r="A18">
        <f t="shared" si="21"/>
        <v>1.4000000000000001</v>
      </c>
      <c r="B18">
        <f t="shared" si="0"/>
        <v>0.10000000000000009</v>
      </c>
      <c r="D18">
        <f t="shared" si="22"/>
        <v>6.081006262521795E-3</v>
      </c>
      <c r="E18">
        <f t="shared" si="1"/>
        <v>4.3980465111039986E-3</v>
      </c>
      <c r="F18">
        <f t="shared" si="2"/>
        <v>8.4204803206495999E-3</v>
      </c>
      <c r="G18">
        <f t="shared" si="3"/>
        <v>7.615993558740479E-3</v>
      </c>
      <c r="H18">
        <f t="shared" si="4"/>
        <v>7.7768909111223033E-3</v>
      </c>
      <c r="I18">
        <f t="shared" si="5"/>
        <v>7.7447114406459378E-3</v>
      </c>
      <c r="J18">
        <f t="shared" si="23"/>
        <v>6.0713789758749682E-3</v>
      </c>
      <c r="K18">
        <f t="shared" si="24"/>
        <v>4.3980465111039986E-3</v>
      </c>
      <c r="L18">
        <f t="shared" si="6"/>
        <v>8.0937956998753981E-3</v>
      </c>
      <c r="N18">
        <f t="shared" si="25"/>
        <v>-1.4855324250634539E-2</v>
      </c>
      <c r="O18">
        <f t="shared" si="7"/>
        <v>-1.3369791825571083E-2</v>
      </c>
      <c r="P18">
        <f t="shared" si="8"/>
        <v>-1.351834506807743E-2</v>
      </c>
      <c r="Q18">
        <f t="shared" si="9"/>
        <v>-1.2151655237019051E-2</v>
      </c>
      <c r="R18">
        <f t="shared" si="10"/>
        <v>6.0812745707347583E-3</v>
      </c>
      <c r="T18">
        <f t="shared" si="26"/>
        <v>-9.4394042459227598E-3</v>
      </c>
      <c r="U18">
        <f t="shared" si="11"/>
        <v>-8.4954638213304828E-3</v>
      </c>
      <c r="V18">
        <f t="shared" si="12"/>
        <v>-7.9290995665751186E-3</v>
      </c>
      <c r="W18">
        <f t="shared" si="13"/>
        <v>3.7317111452214637E-3</v>
      </c>
      <c r="Y18">
        <f t="shared" si="29"/>
        <v>5.6995064621306333E-3</v>
      </c>
      <c r="AC18">
        <f t="shared" si="27"/>
        <v>-1.4854702518758481E-2</v>
      </c>
      <c r="AD18">
        <f t="shared" si="14"/>
        <v>-1.4111967392820557E-2</v>
      </c>
      <c r="AE18">
        <f t="shared" si="15"/>
        <v>-1.3782378680685603E-2</v>
      </c>
      <c r="AF18">
        <f t="shared" si="16"/>
        <v>-1.2337692514915462E-2</v>
      </c>
      <c r="AG18">
        <f t="shared" si="17"/>
        <v>-1.2130197720894909E-2</v>
      </c>
      <c r="AH18">
        <f t="shared" si="18"/>
        <v>-1.3448185010769836E-2</v>
      </c>
      <c r="AI18">
        <f t="shared" si="28"/>
        <v>6.0810004766929555E-3</v>
      </c>
      <c r="AJ18">
        <f t="shared" si="19"/>
        <v>6.0810004766929555E-3</v>
      </c>
      <c r="AK18">
        <f t="shared" si="20"/>
        <v>6.0809972010406055E-3</v>
      </c>
    </row>
    <row r="19" spans="1:37" x14ac:dyDescent="0.25">
      <c r="A19">
        <f t="shared" si="21"/>
        <v>1.5000000000000002</v>
      </c>
      <c r="B19">
        <f t="shared" si="0"/>
        <v>0.10000000000000009</v>
      </c>
      <c r="D19">
        <f t="shared" si="22"/>
        <v>4.9787068367863922E-3</v>
      </c>
      <c r="E19">
        <f t="shared" si="1"/>
        <v>3.5184372088831982E-3</v>
      </c>
      <c r="F19">
        <f t="shared" si="2"/>
        <v>7.0410239988692976E-3</v>
      </c>
      <c r="G19">
        <f t="shared" si="3"/>
        <v>6.3365066408720772E-3</v>
      </c>
      <c r="H19">
        <f t="shared" si="4"/>
        <v>6.4774101124715211E-3</v>
      </c>
      <c r="I19">
        <f t="shared" si="5"/>
        <v>6.4492294181516321E-3</v>
      </c>
      <c r="J19">
        <f t="shared" si="23"/>
        <v>4.9838333135174152E-3</v>
      </c>
      <c r="K19">
        <f t="shared" si="24"/>
        <v>3.5184372088831982E-3</v>
      </c>
      <c r="L19">
        <f t="shared" si="6"/>
        <v>6.9325724089995371E-3</v>
      </c>
      <c r="N19">
        <f t="shared" si="25"/>
        <v>-1.2162549141469517E-2</v>
      </c>
      <c r="O19">
        <f t="shared" si="7"/>
        <v>-1.0946294227322564E-2</v>
      </c>
      <c r="P19">
        <f t="shared" si="8"/>
        <v>-1.106791971873726E-2</v>
      </c>
      <c r="Q19">
        <f t="shared" si="9"/>
        <v>-9.9489651977220633E-3</v>
      </c>
      <c r="R19">
        <f t="shared" si="10"/>
        <v>4.9789422002129036E-3</v>
      </c>
      <c r="T19">
        <f t="shared" si="26"/>
        <v>-7.4634222904429275E-3</v>
      </c>
      <c r="U19">
        <f t="shared" si="11"/>
        <v>-6.7170800613986338E-3</v>
      </c>
      <c r="V19">
        <f t="shared" si="12"/>
        <v>-6.2692747239720585E-3</v>
      </c>
      <c r="W19">
        <f t="shared" si="13"/>
        <v>2.9505396121551034E-3</v>
      </c>
      <c r="Y19">
        <f t="shared" si="29"/>
        <v>4.6502083432794546E-3</v>
      </c>
      <c r="AC19">
        <f t="shared" si="27"/>
        <v>-1.2162000953385911E-2</v>
      </c>
      <c r="AD19">
        <f t="shared" si="14"/>
        <v>-1.1553900905716615E-2</v>
      </c>
      <c r="AE19">
        <f t="shared" si="15"/>
        <v>-1.1284056509563366E-2</v>
      </c>
      <c r="AF19">
        <f t="shared" si="16"/>
        <v>-1.0101247597486384E-2</v>
      </c>
      <c r="AG19">
        <f t="shared" si="17"/>
        <v>-9.9313652400636158E-3</v>
      </c>
      <c r="AH19">
        <f t="shared" si="18"/>
        <v>-1.1010441893114566E-2</v>
      </c>
      <c r="AI19">
        <f t="shared" si="28"/>
        <v>4.9787017613908474E-3</v>
      </c>
      <c r="AJ19">
        <f t="shared" si="19"/>
        <v>4.9787017613908474E-3</v>
      </c>
      <c r="AK19">
        <f t="shared" si="20"/>
        <v>4.9786990795137138E-3</v>
      </c>
    </row>
    <row r="20" spans="1:37" x14ac:dyDescent="0.25">
      <c r="A20">
        <f t="shared" si="21"/>
        <v>1.6000000000000003</v>
      </c>
      <c r="B20">
        <f t="shared" si="0"/>
        <v>0.10000000000000009</v>
      </c>
      <c r="D20">
        <f t="shared" si="22"/>
        <v>4.0762203978366189E-3</v>
      </c>
      <c r="E20">
        <f t="shared" si="1"/>
        <v>2.814749767106558E-3</v>
      </c>
      <c r="F20">
        <f t="shared" si="2"/>
        <v>5.8862794647303197E-3</v>
      </c>
      <c r="G20">
        <f t="shared" si="3"/>
        <v>5.2719735252055675E-3</v>
      </c>
      <c r="H20">
        <f t="shared" si="4"/>
        <v>5.3948347131105179E-3</v>
      </c>
      <c r="I20">
        <f t="shared" si="5"/>
        <v>5.3702624755295279E-3</v>
      </c>
      <c r="J20">
        <f t="shared" si="23"/>
        <v>4.0925061213180434E-3</v>
      </c>
      <c r="K20">
        <f t="shared" si="24"/>
        <v>2.814749767106558E-3</v>
      </c>
      <c r="L20">
        <f t="shared" si="6"/>
        <v>5.9578401913889271E-3</v>
      </c>
      <c r="N20">
        <f t="shared" si="25"/>
        <v>-9.9578844004258073E-3</v>
      </c>
      <c r="O20">
        <f t="shared" si="7"/>
        <v>-8.9620959603832259E-3</v>
      </c>
      <c r="P20">
        <f t="shared" si="8"/>
        <v>-9.0616748043874842E-3</v>
      </c>
      <c r="Q20">
        <f t="shared" si="9"/>
        <v>-8.1455494395483094E-3</v>
      </c>
      <c r="R20">
        <f t="shared" si="10"/>
        <v>4.0764259440543103E-3</v>
      </c>
      <c r="T20">
        <f t="shared" si="26"/>
        <v>-5.9010792243102067E-3</v>
      </c>
      <c r="U20">
        <f t="shared" si="11"/>
        <v>-5.310971301879186E-3</v>
      </c>
      <c r="V20">
        <f t="shared" si="12"/>
        <v>-4.9569065484205733E-3</v>
      </c>
      <c r="W20">
        <f t="shared" si="13"/>
        <v>2.3328933200106347E-3</v>
      </c>
      <c r="Y20">
        <f t="shared" si="29"/>
        <v>3.8208860551944041E-3</v>
      </c>
      <c r="AC20">
        <f t="shared" si="27"/>
        <v>-9.9574035227816948E-3</v>
      </c>
      <c r="AD20">
        <f t="shared" si="14"/>
        <v>-9.4595333466426096E-3</v>
      </c>
      <c r="AE20">
        <f t="shared" si="15"/>
        <v>-9.2386034559808899E-3</v>
      </c>
      <c r="AF20">
        <f t="shared" si="16"/>
        <v>-8.2702014904627117E-3</v>
      </c>
      <c r="AG20">
        <f t="shared" si="17"/>
        <v>-8.1311135894879139E-3</v>
      </c>
      <c r="AH20">
        <f t="shared" si="18"/>
        <v>-9.0145867702271093E-3</v>
      </c>
      <c r="AI20">
        <f t="shared" si="28"/>
        <v>4.0762159654288586E-3</v>
      </c>
      <c r="AJ20">
        <f t="shared" si="19"/>
        <v>4.0762159654288586E-3</v>
      </c>
      <c r="AK20">
        <f t="shared" si="20"/>
        <v>4.0762137696937232E-3</v>
      </c>
    </row>
    <row r="21" spans="1:37" x14ac:dyDescent="0.25">
      <c r="A21">
        <f t="shared" si="21"/>
        <v>1.7000000000000004</v>
      </c>
      <c r="B21">
        <f t="shared" si="0"/>
        <v>0.10000000000000009</v>
      </c>
      <c r="D21">
        <f t="shared" si="22"/>
        <v>3.3373269960326052E-3</v>
      </c>
      <c r="E21">
        <f t="shared" si="1"/>
        <v>2.251799813685246E-3</v>
      </c>
      <c r="F21">
        <f t="shared" si="2"/>
        <v>4.9199025127924781E-3</v>
      </c>
      <c r="G21">
        <f t="shared" si="3"/>
        <v>4.3862819729710316E-3</v>
      </c>
      <c r="H21">
        <f t="shared" si="4"/>
        <v>4.4930060809353209E-3</v>
      </c>
      <c r="I21">
        <f t="shared" si="5"/>
        <v>4.4716612593424625E-3</v>
      </c>
      <c r="J21">
        <f t="shared" si="23"/>
        <v>3.3617305365138545E-3</v>
      </c>
      <c r="K21">
        <f t="shared" si="24"/>
        <v>2.251799813685246E-3</v>
      </c>
      <c r="L21">
        <f t="shared" si="6"/>
        <v>5.1368761908815088E-3</v>
      </c>
      <c r="N21">
        <f t="shared" si="25"/>
        <v>-8.1528518881086205E-3</v>
      </c>
      <c r="O21">
        <f t="shared" si="7"/>
        <v>-7.3375666992977579E-3</v>
      </c>
      <c r="P21">
        <f t="shared" si="8"/>
        <v>-7.4190952181788436E-3</v>
      </c>
      <c r="Q21">
        <f t="shared" si="9"/>
        <v>-6.6690328444728502E-3</v>
      </c>
      <c r="R21">
        <f t="shared" si="10"/>
        <v>3.3375058012620651E-3</v>
      </c>
      <c r="T21">
        <f t="shared" si="26"/>
        <v>-4.6657866400212694E-3</v>
      </c>
      <c r="U21">
        <f t="shared" si="11"/>
        <v>-4.1992079760191422E-3</v>
      </c>
      <c r="V21">
        <f t="shared" si="12"/>
        <v>-3.919260777617865E-3</v>
      </c>
      <c r="W21">
        <f t="shared" si="13"/>
        <v>1.8445409850217415E-3</v>
      </c>
      <c r="Y21">
        <f t="shared" si="29"/>
        <v>3.1186771160600689E-3</v>
      </c>
      <c r="AC21">
        <f t="shared" si="27"/>
        <v>-8.1524319308577172E-3</v>
      </c>
      <c r="AD21">
        <f t="shared" si="14"/>
        <v>-7.7448103343148306E-3</v>
      </c>
      <c r="AE21">
        <f t="shared" si="15"/>
        <v>-7.5639282508489251E-3</v>
      </c>
      <c r="AF21">
        <f t="shared" si="16"/>
        <v>-6.7710678342219324E-3</v>
      </c>
      <c r="AG21">
        <f t="shared" si="17"/>
        <v>-6.6571923000519409E-3</v>
      </c>
      <c r="AH21">
        <f t="shared" si="18"/>
        <v>-7.3805189134844539E-3</v>
      </c>
      <c r="AI21">
        <f t="shared" si="28"/>
        <v>3.3373231402749086E-3</v>
      </c>
      <c r="AJ21">
        <f t="shared" si="19"/>
        <v>3.3373231402749086E-3</v>
      </c>
      <c r="AK21">
        <f t="shared" si="20"/>
        <v>3.3373213425591497E-3</v>
      </c>
    </row>
    <row r="22" spans="1:37" x14ac:dyDescent="0.25">
      <c r="A22">
        <f t="shared" si="21"/>
        <v>1.8000000000000005</v>
      </c>
      <c r="B22">
        <f t="shared" si="0"/>
        <v>0.10000000000000009</v>
      </c>
      <c r="D22">
        <f t="shared" si="22"/>
        <v>2.7323722447292541E-3</v>
      </c>
      <c r="E22">
        <f t="shared" si="1"/>
        <v>1.8014398509481964E-3</v>
      </c>
      <c r="F22">
        <f t="shared" si="2"/>
        <v>4.111373289152823E-3</v>
      </c>
      <c r="G22">
        <f t="shared" si="3"/>
        <v>3.6493866015118973E-3</v>
      </c>
      <c r="H22">
        <f t="shared" si="4"/>
        <v>3.7417839390400825E-3</v>
      </c>
      <c r="I22">
        <f t="shared" si="5"/>
        <v>3.7233044715344454E-3</v>
      </c>
      <c r="J22">
        <f t="shared" si="23"/>
        <v>2.762372161241321E-3</v>
      </c>
      <c r="K22">
        <f t="shared" si="24"/>
        <v>1.8014398509481964E-3</v>
      </c>
      <c r="L22">
        <f t="shared" si="6"/>
        <v>4.443044586698538E-3</v>
      </c>
      <c r="N22">
        <f t="shared" si="25"/>
        <v>-6.6750116025241302E-3</v>
      </c>
      <c r="O22">
        <f t="shared" si="7"/>
        <v>-6.0075104422717164E-3</v>
      </c>
      <c r="P22">
        <f t="shared" si="8"/>
        <v>-6.0742605582969579E-3</v>
      </c>
      <c r="Q22">
        <f t="shared" si="9"/>
        <v>-5.4601594908647378E-3</v>
      </c>
      <c r="R22">
        <f t="shared" si="10"/>
        <v>2.7325272496866275E-3</v>
      </c>
      <c r="T22">
        <f t="shared" si="26"/>
        <v>-3.6890819700434829E-3</v>
      </c>
      <c r="U22">
        <f t="shared" si="11"/>
        <v>-3.3201737730391345E-3</v>
      </c>
      <c r="V22">
        <f t="shared" si="12"/>
        <v>-3.098828854836525E-3</v>
      </c>
      <c r="W22">
        <f t="shared" si="13"/>
        <v>1.45841707215719E-3</v>
      </c>
      <c r="Y22">
        <f t="shared" si="29"/>
        <v>2.5615344938184174E-3</v>
      </c>
      <c r="AC22">
        <f t="shared" si="27"/>
        <v>-6.6746462805498171E-3</v>
      </c>
      <c r="AD22">
        <f t="shared" si="14"/>
        <v>-6.3409139665223258E-3</v>
      </c>
      <c r="AE22">
        <f t="shared" si="15"/>
        <v>-6.1928202521726273E-3</v>
      </c>
      <c r="AF22">
        <f t="shared" si="16"/>
        <v>-5.5436810902982922E-3</v>
      </c>
      <c r="AG22">
        <f t="shared" si="17"/>
        <v>-5.4504476947864096E-3</v>
      </c>
      <c r="AH22">
        <f t="shared" si="18"/>
        <v>-6.0426573974759574E-3</v>
      </c>
      <c r="AI22">
        <f t="shared" si="28"/>
        <v>2.7323689022062348E-3</v>
      </c>
      <c r="AJ22">
        <f t="shared" si="19"/>
        <v>2.7323689022062348E-3</v>
      </c>
      <c r="AK22">
        <f t="shared" si="20"/>
        <v>2.7323674303611576E-3</v>
      </c>
    </row>
    <row r="23" spans="1:37" x14ac:dyDescent="0.25">
      <c r="A23">
        <f t="shared" si="21"/>
        <v>1.9000000000000006</v>
      </c>
      <c r="B23">
        <f t="shared" si="0"/>
        <v>0.10000000000000009</v>
      </c>
      <c r="D23">
        <f t="shared" si="22"/>
        <v>2.2370771856165574E-3</v>
      </c>
      <c r="E23">
        <f t="shared" si="1"/>
        <v>1.4411518807585567E-3</v>
      </c>
      <c r="F23">
        <f t="shared" si="2"/>
        <v>3.4350740953827336E-3</v>
      </c>
      <c r="G23">
        <f t="shared" si="3"/>
        <v>3.0362896524578978E-3</v>
      </c>
      <c r="H23">
        <f t="shared" si="4"/>
        <v>3.1160465410428654E-3</v>
      </c>
      <c r="I23">
        <f t="shared" si="5"/>
        <v>3.1000951633258717E-3</v>
      </c>
      <c r="J23">
        <f t="shared" si="23"/>
        <v>2.2706235220422144E-3</v>
      </c>
      <c r="K23">
        <f t="shared" si="24"/>
        <v>1.4411518807585567E-3</v>
      </c>
      <c r="L23">
        <f t="shared" si="6"/>
        <v>3.8546249399528279E-3</v>
      </c>
      <c r="N23">
        <f t="shared" si="25"/>
        <v>-5.465054499373255E-3</v>
      </c>
      <c r="O23">
        <f t="shared" si="7"/>
        <v>-4.9185490494359288E-3</v>
      </c>
      <c r="P23">
        <f t="shared" si="8"/>
        <v>-4.9731995944296619E-3</v>
      </c>
      <c r="Q23">
        <f t="shared" si="9"/>
        <v>-4.4704145804873221E-3</v>
      </c>
      <c r="R23">
        <f t="shared" si="10"/>
        <v>2.2372111435600981E-3</v>
      </c>
      <c r="T23">
        <f t="shared" si="26"/>
        <v>-2.91683414431438E-3</v>
      </c>
      <c r="U23">
        <f t="shared" si="11"/>
        <v>-2.6251507298829416E-3</v>
      </c>
      <c r="V23">
        <f t="shared" si="12"/>
        <v>-2.4501406812240788E-3</v>
      </c>
      <c r="W23">
        <f t="shared" si="13"/>
        <v>1.1531217650522846E-3</v>
      </c>
      <c r="Y23">
        <f t="shared" si="29"/>
        <v>2.0915065249421942E-3</v>
      </c>
      <c r="AC23">
        <f t="shared" si="27"/>
        <v>-5.4647378044124697E-3</v>
      </c>
      <c r="AD23">
        <f t="shared" si="14"/>
        <v>-5.1915009141918463E-3</v>
      </c>
      <c r="AE23">
        <f t="shared" si="15"/>
        <v>-5.070252044156444E-3</v>
      </c>
      <c r="AF23">
        <f t="shared" si="16"/>
        <v>-4.5387818854221188E-3</v>
      </c>
      <c r="AG23">
        <f t="shared" si="17"/>
        <v>-4.4624488424903552E-3</v>
      </c>
      <c r="AH23">
        <f t="shared" si="18"/>
        <v>-4.9473091054016748E-3</v>
      </c>
      <c r="AI23">
        <f t="shared" si="28"/>
        <v>2.2370742969554675E-3</v>
      </c>
      <c r="AJ23">
        <f t="shared" si="19"/>
        <v>2.2370742969554675E-3</v>
      </c>
      <c r="AK23">
        <f t="shared" si="20"/>
        <v>2.2370730919107212E-3</v>
      </c>
    </row>
    <row r="24" spans="1:37" x14ac:dyDescent="0.25">
      <c r="A24">
        <f t="shared" si="21"/>
        <v>2.0000000000000004</v>
      </c>
      <c r="B24">
        <f t="shared" si="0"/>
        <v>9.9999999999999867E-2</v>
      </c>
      <c r="D24">
        <f t="shared" si="22"/>
        <v>1.8315638888734165E-3</v>
      </c>
      <c r="E24">
        <f t="shared" si="1"/>
        <v>1.1529215046068458E-3</v>
      </c>
      <c r="F24">
        <f t="shared" si="2"/>
        <v>2.8695108624045029E-3</v>
      </c>
      <c r="G24">
        <f t="shared" si="3"/>
        <v>2.5261929908449721E-3</v>
      </c>
      <c r="H24">
        <f t="shared" si="4"/>
        <v>2.5948565651568779E-3</v>
      </c>
      <c r="I24">
        <f t="shared" si="5"/>
        <v>2.5811238502944965E-3</v>
      </c>
      <c r="J24">
        <f t="shared" si="23"/>
        <v>1.8670226774506712E-3</v>
      </c>
      <c r="K24">
        <f t="shared" si="24"/>
        <v>1.1529215046068458E-3</v>
      </c>
      <c r="L24">
        <f t="shared" si="6"/>
        <v>3.353870295496861E-3</v>
      </c>
      <c r="N24">
        <f t="shared" si="25"/>
        <v>-4.4744222871201961E-3</v>
      </c>
      <c r="O24">
        <f t="shared" si="7"/>
        <v>-4.026980058408177E-3</v>
      </c>
      <c r="P24">
        <f t="shared" si="8"/>
        <v>-4.0717242812793788E-3</v>
      </c>
      <c r="Q24">
        <f t="shared" si="9"/>
        <v>-3.6600774308643215E-3</v>
      </c>
      <c r="R24">
        <f t="shared" si="10"/>
        <v>1.8316793369374381E-3</v>
      </c>
      <c r="T24">
        <f t="shared" si="26"/>
        <v>-2.3062435301045691E-3</v>
      </c>
      <c r="U24">
        <f t="shared" si="11"/>
        <v>-2.0756191770941127E-3</v>
      </c>
      <c r="V24">
        <f t="shared" si="12"/>
        <v>-1.9372445652878383E-3</v>
      </c>
      <c r="W24">
        <f t="shared" si="13"/>
        <v>9.117349422346733E-4</v>
      </c>
      <c r="Y24">
        <f t="shared" si="29"/>
        <v>1.7172948371588031E-3</v>
      </c>
      <c r="AC24">
        <f t="shared" si="27"/>
        <v>-4.474148593910935E-3</v>
      </c>
      <c r="AD24">
        <f t="shared" si="14"/>
        <v>-4.2504411642153885E-3</v>
      </c>
      <c r="AE24">
        <f t="shared" si="15"/>
        <v>-4.1511709922879897E-3</v>
      </c>
      <c r="AF24">
        <f t="shared" si="16"/>
        <v>-3.7160400585610682E-3</v>
      </c>
      <c r="AG24">
        <f t="shared" si="17"/>
        <v>-3.6535438530841437E-3</v>
      </c>
      <c r="AH24">
        <f t="shared" si="18"/>
        <v>-4.0505138342964786E-3</v>
      </c>
      <c r="AI24">
        <f t="shared" si="28"/>
        <v>1.8315613993622702E-3</v>
      </c>
      <c r="AJ24">
        <f t="shared" si="19"/>
        <v>1.8315613993622702E-3</v>
      </c>
      <c r="AK24">
        <f t="shared" si="20"/>
        <v>1.8315604127551444E-3</v>
      </c>
    </row>
    <row r="25" spans="1:37" x14ac:dyDescent="0.25">
      <c r="A25">
        <f t="shared" si="21"/>
        <v>2.1000000000000005</v>
      </c>
      <c r="B25">
        <f t="shared" si="0"/>
        <v>0.10000000000000009</v>
      </c>
      <c r="D25">
        <f t="shared" si="22"/>
        <v>1.4995576820477693E-3</v>
      </c>
      <c r="E25">
        <f t="shared" si="1"/>
        <v>9.2233720368547643E-4</v>
      </c>
      <c r="F25">
        <f t="shared" si="2"/>
        <v>2.3966564095574011E-3</v>
      </c>
      <c r="G25">
        <f t="shared" si="3"/>
        <v>2.1017925683830159E-3</v>
      </c>
      <c r="H25">
        <f t="shared" si="4"/>
        <v>2.1607653366178931E-3</v>
      </c>
      <c r="I25">
        <f t="shared" si="5"/>
        <v>2.1489707829709173E-3</v>
      </c>
      <c r="J25">
        <f t="shared" si="23"/>
        <v>1.5356539933281969E-3</v>
      </c>
      <c r="K25">
        <f t="shared" si="24"/>
        <v>9.2233720368547643E-4</v>
      </c>
      <c r="L25">
        <f t="shared" si="6"/>
        <v>2.9262495455786271E-3</v>
      </c>
      <c r="N25">
        <f t="shared" si="25"/>
        <v>-3.6633586738748763E-3</v>
      </c>
      <c r="O25">
        <f t="shared" si="7"/>
        <v>-3.2970228064873883E-3</v>
      </c>
      <c r="P25">
        <f t="shared" si="8"/>
        <v>-3.3336563932261374E-3</v>
      </c>
      <c r="Q25">
        <f t="shared" si="9"/>
        <v>-2.9966273952296485E-3</v>
      </c>
      <c r="R25">
        <f t="shared" si="10"/>
        <v>1.4996569291285784E-3</v>
      </c>
      <c r="T25">
        <f t="shared" si="26"/>
        <v>-1.8234698844693466E-3</v>
      </c>
      <c r="U25">
        <f t="shared" si="11"/>
        <v>-1.6411228960224117E-3</v>
      </c>
      <c r="V25">
        <f t="shared" si="12"/>
        <v>-1.5317147029542512E-3</v>
      </c>
      <c r="W25">
        <f t="shared" si="13"/>
        <v>7.2087842766021485E-4</v>
      </c>
      <c r="Y25">
        <f t="shared" si="29"/>
        <v>1.4026197263347566E-3</v>
      </c>
      <c r="AC25">
        <f t="shared" si="27"/>
        <v>-3.6631227987245405E-3</v>
      </c>
      <c r="AD25">
        <f t="shared" si="14"/>
        <v>-3.4799666587883131E-3</v>
      </c>
      <c r="AE25">
        <f t="shared" si="15"/>
        <v>-3.3986911216916126E-3</v>
      </c>
      <c r="AF25">
        <f t="shared" si="16"/>
        <v>-3.0424360688454354E-3</v>
      </c>
      <c r="AG25">
        <f t="shared" si="17"/>
        <v>-2.9912685069482161E-3</v>
      </c>
      <c r="AH25">
        <f t="shared" si="18"/>
        <v>-3.3162800165273073E-3</v>
      </c>
      <c r="AI25">
        <f t="shared" si="28"/>
        <v>1.4995555418965394E-3</v>
      </c>
      <c r="AJ25">
        <f t="shared" si="19"/>
        <v>1.4995555418965394E-3</v>
      </c>
      <c r="AK25">
        <f t="shared" si="20"/>
        <v>1.4995547341309992E-3</v>
      </c>
    </row>
    <row r="26" spans="1:37" x14ac:dyDescent="0.25">
      <c r="A26">
        <f t="shared" si="21"/>
        <v>2.2000000000000006</v>
      </c>
      <c r="B26">
        <f t="shared" si="0"/>
        <v>0.10000000000000009</v>
      </c>
      <c r="D26">
        <f t="shared" si="22"/>
        <v>1.2277339903068428E-3</v>
      </c>
      <c r="E26">
        <f t="shared" si="1"/>
        <v>7.3786976294838095E-4</v>
      </c>
      <c r="F26">
        <f t="shared" si="2"/>
        <v>2.0013968303812411E-3</v>
      </c>
      <c r="G26">
        <f t="shared" si="3"/>
        <v>1.7486914168946687E-3</v>
      </c>
      <c r="H26">
        <f t="shared" si="4"/>
        <v>1.7992324995919832E-3</v>
      </c>
      <c r="I26">
        <f t="shared" si="5"/>
        <v>1.7891242830525202E-3</v>
      </c>
      <c r="J26">
        <f t="shared" si="23"/>
        <v>1.2634970230004506E-3</v>
      </c>
      <c r="K26">
        <f t="shared" si="24"/>
        <v>7.3786976294838095E-4</v>
      </c>
      <c r="L26">
        <f t="shared" si="6"/>
        <v>2.5598376147259261E-3</v>
      </c>
      <c r="N26">
        <f t="shared" si="25"/>
        <v>-2.9993138582571567E-3</v>
      </c>
      <c r="O26">
        <f t="shared" si="7"/>
        <v>-2.6993824724314409E-3</v>
      </c>
      <c r="P26">
        <f t="shared" si="8"/>
        <v>-2.7293756110140124E-3</v>
      </c>
      <c r="Q26">
        <f t="shared" si="9"/>
        <v>-2.4534387360543538E-3</v>
      </c>
      <c r="R26">
        <f t="shared" si="10"/>
        <v>1.2278191164418711E-3</v>
      </c>
      <c r="T26">
        <f t="shared" si="26"/>
        <v>-1.4417568553204297E-3</v>
      </c>
      <c r="U26">
        <f t="shared" si="11"/>
        <v>-1.2975811697883866E-3</v>
      </c>
      <c r="V26">
        <f t="shared" si="12"/>
        <v>-1.2110757584691608E-3</v>
      </c>
      <c r="W26">
        <f t="shared" si="13"/>
        <v>5.6997454347000977E-4</v>
      </c>
      <c r="Y26">
        <f t="shared" si="29"/>
        <v>1.1513228885469426E-3</v>
      </c>
      <c r="AC26">
        <f t="shared" si="27"/>
        <v>-2.9991110837930789E-3</v>
      </c>
      <c r="AD26">
        <f t="shared" si="14"/>
        <v>-2.8491555296034248E-3</v>
      </c>
      <c r="AE26">
        <f t="shared" si="15"/>
        <v>-2.782612752431766E-3</v>
      </c>
      <c r="AF26">
        <f t="shared" si="16"/>
        <v>-2.4909358045499528E-3</v>
      </c>
      <c r="AG26">
        <f t="shared" si="17"/>
        <v>-2.4490433509117473E-3</v>
      </c>
      <c r="AH26">
        <f t="shared" si="18"/>
        <v>-2.7151402508241314E-3</v>
      </c>
      <c r="AI26">
        <f t="shared" si="28"/>
        <v>1.2277321546608187E-3</v>
      </c>
      <c r="AJ26">
        <f t="shared" si="19"/>
        <v>1.2277321546608187E-3</v>
      </c>
      <c r="AK26">
        <f t="shared" si="20"/>
        <v>1.2277314933183746E-3</v>
      </c>
    </row>
    <row r="27" spans="1:37" x14ac:dyDescent="0.25">
      <c r="A27">
        <f t="shared" si="21"/>
        <v>2.3000000000000007</v>
      </c>
      <c r="B27">
        <f t="shared" si="0"/>
        <v>0.10000000000000009</v>
      </c>
      <c r="D27">
        <f t="shared" si="22"/>
        <v>1.0051835744633569E-3</v>
      </c>
      <c r="E27">
        <f t="shared" si="1"/>
        <v>5.9029581035870463E-4</v>
      </c>
      <c r="F27">
        <f t="shared" si="2"/>
        <v>1.6710651209807792E-3</v>
      </c>
      <c r="G27">
        <f t="shared" si="3"/>
        <v>1.454911258856364E-3</v>
      </c>
      <c r="H27">
        <f t="shared" si="4"/>
        <v>1.4981420312812472E-3</v>
      </c>
      <c r="I27">
        <f t="shared" si="5"/>
        <v>1.4894958767962705E-3</v>
      </c>
      <c r="J27">
        <f t="shared" si="23"/>
        <v>1.0398958435774877E-3</v>
      </c>
      <c r="K27">
        <f t="shared" si="24"/>
        <v>5.9029581035870463E-4</v>
      </c>
      <c r="L27">
        <f t="shared" si="6"/>
        <v>2.2448242722174628E-3</v>
      </c>
      <c r="N27">
        <f t="shared" si="25"/>
        <v>-2.4556382328837422E-3</v>
      </c>
      <c r="O27">
        <f t="shared" si="7"/>
        <v>-2.2100744095953678E-3</v>
      </c>
      <c r="P27">
        <f t="shared" si="8"/>
        <v>-2.2346307919242051E-3</v>
      </c>
      <c r="Q27">
        <f t="shared" si="9"/>
        <v>-2.0087120744989007E-3</v>
      </c>
      <c r="R27">
        <f t="shared" si="10"/>
        <v>1.0052564379348411E-3</v>
      </c>
      <c r="T27">
        <f t="shared" si="26"/>
        <v>-1.1399490869400195E-3</v>
      </c>
      <c r="U27">
        <f t="shared" si="11"/>
        <v>-1.0259541782460175E-3</v>
      </c>
      <c r="V27">
        <f t="shared" si="12"/>
        <v>-9.5755723302961638E-4</v>
      </c>
      <c r="W27">
        <f t="shared" si="13"/>
        <v>4.5065987237028762E-4</v>
      </c>
      <c r="Y27">
        <f t="shared" si="29"/>
        <v>9.406183446575493E-4</v>
      </c>
      <c r="AC27">
        <f t="shared" si="27"/>
        <v>-2.4554643093216374E-3</v>
      </c>
      <c r="AD27">
        <f t="shared" si="14"/>
        <v>-2.3326910938555553E-3</v>
      </c>
      <c r="AE27">
        <f t="shared" si="15"/>
        <v>-2.2782104794924814E-3</v>
      </c>
      <c r="AF27">
        <f t="shared" si="16"/>
        <v>-2.0394056085272314E-3</v>
      </c>
      <c r="AG27">
        <f t="shared" si="17"/>
        <v>-2.0051069707427219E-3</v>
      </c>
      <c r="AH27">
        <f t="shared" si="18"/>
        <v>-2.2229686711935184E-3</v>
      </c>
      <c r="AI27">
        <f t="shared" si="28"/>
        <v>1.0051820032499288E-3</v>
      </c>
      <c r="AJ27">
        <f t="shared" si="19"/>
        <v>1.0051820032499288E-3</v>
      </c>
      <c r="AK27">
        <f t="shared" si="20"/>
        <v>1.0051814617885685E-3</v>
      </c>
    </row>
    <row r="28" spans="1:37" x14ac:dyDescent="0.25">
      <c r="A28">
        <f t="shared" si="21"/>
        <v>2.4000000000000008</v>
      </c>
      <c r="B28">
        <f t="shared" si="0"/>
        <v>0.10000000000000009</v>
      </c>
      <c r="D28">
        <f t="shared" si="22"/>
        <v>8.2297470490200165E-4</v>
      </c>
      <c r="E28">
        <f t="shared" si="1"/>
        <v>4.7223664828696362E-4</v>
      </c>
      <c r="F28">
        <f t="shared" si="2"/>
        <v>1.3950485471388777E-3</v>
      </c>
      <c r="G28">
        <f t="shared" si="3"/>
        <v>1.2104861673684947E-3</v>
      </c>
      <c r="H28">
        <f t="shared" si="4"/>
        <v>1.2473986433225715E-3</v>
      </c>
      <c r="I28">
        <f t="shared" si="5"/>
        <v>1.240016148131756E-3</v>
      </c>
      <c r="J28">
        <f t="shared" si="23"/>
        <v>8.5612639820935982E-4</v>
      </c>
      <c r="K28">
        <f t="shared" si="24"/>
        <v>4.7223664828696362E-4</v>
      </c>
      <c r="L28">
        <f t="shared" si="6"/>
        <v>1.97311818016702E-3</v>
      </c>
      <c r="N28">
        <f t="shared" si="25"/>
        <v>-2.0105128758696822E-3</v>
      </c>
      <c r="O28">
        <f t="shared" si="7"/>
        <v>-1.8094615882827138E-3</v>
      </c>
      <c r="P28">
        <f t="shared" si="8"/>
        <v>-1.8295667170414108E-3</v>
      </c>
      <c r="Q28">
        <f t="shared" si="9"/>
        <v>-1.6445995324613997E-3</v>
      </c>
      <c r="R28">
        <f t="shared" si="10"/>
        <v>8.2303695428518546E-4</v>
      </c>
      <c r="T28">
        <f t="shared" si="26"/>
        <v>-9.0131974474057523E-4</v>
      </c>
      <c r="U28">
        <f t="shared" si="11"/>
        <v>-8.1118777026651767E-4</v>
      </c>
      <c r="V28">
        <f t="shared" si="12"/>
        <v>-7.5710858558208308E-4</v>
      </c>
      <c r="W28">
        <f t="shared" si="13"/>
        <v>3.5632173908744071E-4</v>
      </c>
      <c r="Y28">
        <f t="shared" si="29"/>
        <v>7.7189138739211277E-4</v>
      </c>
      <c r="AC28">
        <f t="shared" si="27"/>
        <v>-2.0103640064998577E-3</v>
      </c>
      <c r="AD28">
        <f t="shared" si="14"/>
        <v>-1.9098458061748648E-3</v>
      </c>
      <c r="AE28">
        <f t="shared" si="15"/>
        <v>-1.8652408547806488E-3</v>
      </c>
      <c r="AF28">
        <f t="shared" si="16"/>
        <v>-1.6697239762241802E-3</v>
      </c>
      <c r="AG28">
        <f t="shared" si="17"/>
        <v>-1.641642628589769E-3</v>
      </c>
      <c r="AH28">
        <f t="shared" si="18"/>
        <v>-1.8200126905444183E-3</v>
      </c>
      <c r="AI28">
        <f t="shared" si="28"/>
        <v>8.2297336257082662E-4</v>
      </c>
      <c r="AJ28">
        <f t="shared" si="19"/>
        <v>8.2297336257082662E-4</v>
      </c>
      <c r="AK28">
        <f t="shared" si="20"/>
        <v>8.2297291925978932E-4</v>
      </c>
    </row>
    <row r="29" spans="1:37" x14ac:dyDescent="0.25">
      <c r="A29">
        <f t="shared" si="21"/>
        <v>2.5000000000000009</v>
      </c>
      <c r="B29">
        <f t="shared" si="0"/>
        <v>0.10000000000000009</v>
      </c>
      <c r="D29">
        <f t="shared" si="22"/>
        <v>6.7379469990854542E-4</v>
      </c>
      <c r="E29">
        <f t="shared" si="1"/>
        <v>3.7778931862957082E-4</v>
      </c>
      <c r="F29">
        <f t="shared" si="2"/>
        <v>1.1644582844058417E-3</v>
      </c>
      <c r="G29">
        <f t="shared" si="3"/>
        <v>1.0071244912505874E-3</v>
      </c>
      <c r="H29">
        <f t="shared" si="4"/>
        <v>1.0385912498816383E-3</v>
      </c>
      <c r="I29">
        <f t="shared" si="5"/>
        <v>1.0322978981554282E-3</v>
      </c>
      <c r="J29">
        <f t="shared" si="23"/>
        <v>7.050436083924995E-4</v>
      </c>
      <c r="K29">
        <f t="shared" si="24"/>
        <v>3.7778931862957082E-4</v>
      </c>
      <c r="L29">
        <f t="shared" si="6"/>
        <v>1.7380274302873607E-3</v>
      </c>
      <c r="N29">
        <f t="shared" si="25"/>
        <v>-1.6460739085703709E-3</v>
      </c>
      <c r="O29">
        <f t="shared" si="7"/>
        <v>-1.4814665177133337E-3</v>
      </c>
      <c r="P29">
        <f t="shared" si="8"/>
        <v>-1.4979272567990374E-3</v>
      </c>
      <c r="Q29">
        <f t="shared" si="9"/>
        <v>-1.3464884572105631E-3</v>
      </c>
      <c r="R29">
        <f t="shared" si="10"/>
        <v>6.73847789038424E-4</v>
      </c>
      <c r="T29">
        <f t="shared" si="26"/>
        <v>-7.1264347817488142E-4</v>
      </c>
      <c r="U29">
        <f t="shared" si="11"/>
        <v>-6.4137913035739326E-4</v>
      </c>
      <c r="V29">
        <f t="shared" si="12"/>
        <v>-5.9862052166690034E-4</v>
      </c>
      <c r="W29">
        <f t="shared" si="13"/>
        <v>2.8173172170513643E-4</v>
      </c>
      <c r="Y29">
        <f t="shared" si="29"/>
        <v>6.3078377646715554E-4</v>
      </c>
      <c r="AC29">
        <f t="shared" si="27"/>
        <v>-1.6459467251416532E-3</v>
      </c>
      <c r="AD29">
        <f t="shared" si="14"/>
        <v>-1.5636493888845705E-3</v>
      </c>
      <c r="AE29">
        <f t="shared" si="15"/>
        <v>-1.5271299459204901E-3</v>
      </c>
      <c r="AF29">
        <f t="shared" si="16"/>
        <v>-1.3670542755794624E-3</v>
      </c>
      <c r="AG29">
        <f t="shared" si="17"/>
        <v>-1.3440632142458009E-3</v>
      </c>
      <c r="AH29">
        <f t="shared" si="18"/>
        <v>-1.4901002594716155E-3</v>
      </c>
      <c r="AI29">
        <f t="shared" si="28"/>
        <v>6.7379355510877839E-4</v>
      </c>
      <c r="AJ29">
        <f t="shared" si="19"/>
        <v>6.7379355510877839E-4</v>
      </c>
      <c r="AK29">
        <f t="shared" si="20"/>
        <v>6.737931921564237E-4</v>
      </c>
    </row>
    <row r="30" spans="1:37" x14ac:dyDescent="0.25">
      <c r="A30">
        <f t="shared" si="21"/>
        <v>2.600000000000001</v>
      </c>
      <c r="B30">
        <f t="shared" si="0"/>
        <v>0.10000000000000009</v>
      </c>
      <c r="D30">
        <f t="shared" si="22"/>
        <v>5.5165644207607624E-4</v>
      </c>
      <c r="E30">
        <f t="shared" si="1"/>
        <v>3.022314549036566E-4</v>
      </c>
      <c r="F30">
        <f t="shared" si="2"/>
        <v>9.7185160717469684E-4</v>
      </c>
      <c r="G30">
        <f t="shared" si="3"/>
        <v>8.3792757672048867E-4</v>
      </c>
      <c r="H30">
        <f t="shared" si="4"/>
        <v>8.6471238281133039E-4</v>
      </c>
      <c r="I30">
        <f t="shared" si="5"/>
        <v>8.5935542159316198E-4</v>
      </c>
      <c r="J30">
        <f t="shared" si="23"/>
        <v>5.8079343824840926E-4</v>
      </c>
      <c r="K30">
        <f t="shared" si="24"/>
        <v>3.022314549036566E-4</v>
      </c>
      <c r="L30">
        <f t="shared" si="6"/>
        <v>1.5340015417682588E-3</v>
      </c>
      <c r="N30">
        <f t="shared" si="25"/>
        <v>-1.347695578076848E-3</v>
      </c>
      <c r="O30">
        <f t="shared" si="7"/>
        <v>-1.2129260202691631E-3</v>
      </c>
      <c r="P30">
        <f t="shared" si="8"/>
        <v>-1.2264029760499316E-3</v>
      </c>
      <c r="Q30">
        <f t="shared" si="9"/>
        <v>-1.1024149828668616E-3</v>
      </c>
      <c r="R30">
        <f t="shared" si="10"/>
        <v>5.5170164647872551E-4</v>
      </c>
      <c r="T30">
        <f t="shared" si="26"/>
        <v>-5.6346344341027285E-4</v>
      </c>
      <c r="U30">
        <f t="shared" si="11"/>
        <v>-5.071170990692455E-4</v>
      </c>
      <c r="V30">
        <f t="shared" si="12"/>
        <v>-4.7330929246462917E-4</v>
      </c>
      <c r="W30">
        <f t="shared" si="13"/>
        <v>2.2275588129486116E-4</v>
      </c>
      <c r="Y30">
        <f t="shared" si="29"/>
        <v>5.1751303809244092E-4</v>
      </c>
      <c r="AC30">
        <f t="shared" si="27"/>
        <v>-1.3475871102175568E-3</v>
      </c>
      <c r="AD30">
        <f t="shared" si="14"/>
        <v>-1.2802077547066789E-3</v>
      </c>
      <c r="AE30">
        <f t="shared" si="15"/>
        <v>-1.2503081656987268E-3</v>
      </c>
      <c r="AF30">
        <f t="shared" si="16"/>
        <v>-1.1192493004778988E-3</v>
      </c>
      <c r="AG30">
        <f t="shared" si="17"/>
        <v>-1.1004258127973981E-3</v>
      </c>
      <c r="AH30">
        <f t="shared" si="18"/>
        <v>-1.2199908246866072E-3</v>
      </c>
      <c r="AI30">
        <f t="shared" si="28"/>
        <v>5.5165546730202289E-4</v>
      </c>
      <c r="AJ30">
        <f t="shared" si="19"/>
        <v>5.5165546730202289E-4</v>
      </c>
      <c r="AK30">
        <f t="shared" si="20"/>
        <v>5.5165517014178832E-4</v>
      </c>
    </row>
    <row r="31" spans="1:37" x14ac:dyDescent="0.25">
      <c r="A31">
        <f t="shared" si="21"/>
        <v>2.7000000000000011</v>
      </c>
      <c r="B31">
        <f t="shared" si="0"/>
        <v>0.10000000000000009</v>
      </c>
      <c r="D31">
        <f t="shared" si="22"/>
        <v>4.5165809426126586E-4</v>
      </c>
      <c r="E31">
        <f t="shared" si="1"/>
        <v>2.4178516392292523E-4</v>
      </c>
      <c r="F31">
        <f t="shared" si="2"/>
        <v>8.1099838880857686E-4</v>
      </c>
      <c r="G31">
        <f t="shared" si="3"/>
        <v>6.971557438314465E-4</v>
      </c>
      <c r="H31">
        <f t="shared" si="4"/>
        <v>7.1992427282687257E-4</v>
      </c>
      <c r="I31">
        <f t="shared" si="5"/>
        <v>7.1537056702778736E-4</v>
      </c>
      <c r="J31">
        <f t="shared" si="23"/>
        <v>4.7857786547535631E-4</v>
      </c>
      <c r="K31">
        <f t="shared" si="24"/>
        <v>2.4178516392292523E-4</v>
      </c>
      <c r="L31">
        <f t="shared" si="6"/>
        <v>1.3564228711991403E-3</v>
      </c>
      <c r="N31">
        <f t="shared" si="25"/>
        <v>-1.103403292957451E-3</v>
      </c>
      <c r="O31">
        <f t="shared" si="7"/>
        <v>-9.9306296366170584E-4</v>
      </c>
      <c r="P31">
        <f t="shared" si="8"/>
        <v>-1.0040969965912803E-3</v>
      </c>
      <c r="Q31">
        <f t="shared" si="9"/>
        <v>-9.0258389363919475E-4</v>
      </c>
      <c r="R31">
        <f t="shared" si="10"/>
        <v>4.5169652802701514E-4</v>
      </c>
      <c r="T31">
        <f t="shared" si="26"/>
        <v>-4.4551176258972232E-4</v>
      </c>
      <c r="U31">
        <f t="shared" si="11"/>
        <v>-4.0096058633075008E-4</v>
      </c>
      <c r="V31">
        <f t="shared" si="12"/>
        <v>-3.742298805753667E-4</v>
      </c>
      <c r="W31">
        <f t="shared" si="13"/>
        <v>1.7612565014380352E-4</v>
      </c>
      <c r="Y31">
        <f t="shared" si="29"/>
        <v>4.2300145046650497E-4</v>
      </c>
      <c r="AC31">
        <f t="shared" si="27"/>
        <v>-1.1033109346040458E-3</v>
      </c>
      <c r="AD31">
        <f t="shared" si="14"/>
        <v>-1.0481453878738434E-3</v>
      </c>
      <c r="AE31">
        <f t="shared" si="15"/>
        <v>-1.0236656765123162E-3</v>
      </c>
      <c r="AF31">
        <f t="shared" si="16"/>
        <v>-9.1636376038491021E-4</v>
      </c>
      <c r="AG31">
        <f t="shared" si="17"/>
        <v>-9.0095239318807802E-4</v>
      </c>
      <c r="AH31">
        <f t="shared" si="18"/>
        <v>-9.9884393876106163E-4</v>
      </c>
      <c r="AI31">
        <f t="shared" si="28"/>
        <v>4.5165726548851101E-4</v>
      </c>
      <c r="AJ31">
        <f t="shared" si="19"/>
        <v>4.5165726548851101E-4</v>
      </c>
      <c r="AK31">
        <f t="shared" si="20"/>
        <v>4.5165702219430494E-4</v>
      </c>
    </row>
    <row r="32" spans="1:37" x14ac:dyDescent="0.25">
      <c r="A32">
        <f t="shared" si="21"/>
        <v>2.8000000000000012</v>
      </c>
      <c r="B32">
        <f t="shared" si="0"/>
        <v>0.10000000000000009</v>
      </c>
      <c r="D32">
        <f t="shared" si="22"/>
        <v>3.6978637164829226E-4</v>
      </c>
      <c r="E32">
        <f t="shared" si="1"/>
        <v>1.9342813113834014E-4</v>
      </c>
      <c r="F32">
        <f t="shared" si="2"/>
        <v>6.7668494080011933E-4</v>
      </c>
      <c r="G32">
        <f t="shared" si="3"/>
        <v>5.8003357886776338E-4</v>
      </c>
      <c r="H32">
        <f t="shared" si="4"/>
        <v>5.9936385125423453E-4</v>
      </c>
      <c r="I32">
        <f t="shared" si="5"/>
        <v>5.9549779677694039E-4</v>
      </c>
      <c r="J32">
        <f t="shared" si="23"/>
        <v>3.9446296395764026E-4</v>
      </c>
      <c r="K32">
        <f t="shared" si="24"/>
        <v>1.9342813113834014E-4</v>
      </c>
      <c r="L32">
        <f t="shared" si="6"/>
        <v>1.2014377709653921E-3</v>
      </c>
      <c r="N32">
        <f t="shared" si="25"/>
        <v>-9.0339305605403029E-4</v>
      </c>
      <c r="O32">
        <f t="shared" si="7"/>
        <v>-8.1305375044862717E-4</v>
      </c>
      <c r="P32">
        <f t="shared" si="8"/>
        <v>-8.2208768100916745E-4</v>
      </c>
      <c r="Q32">
        <f t="shared" si="9"/>
        <v>-7.3897551985219667E-4</v>
      </c>
      <c r="R32">
        <f t="shared" si="10"/>
        <v>3.6981900404665149E-4</v>
      </c>
      <c r="T32">
        <f t="shared" si="26"/>
        <v>-3.5225130028760705E-4</v>
      </c>
      <c r="U32">
        <f t="shared" si="11"/>
        <v>-3.1702617025884628E-4</v>
      </c>
      <c r="V32">
        <f t="shared" si="12"/>
        <v>-2.9589109224158986E-4</v>
      </c>
      <c r="W32">
        <f t="shared" si="13"/>
        <v>1.3925668071370061E-4</v>
      </c>
      <c r="Y32">
        <f t="shared" si="29"/>
        <v>3.4696988570850906E-4</v>
      </c>
      <c r="AC32">
        <f t="shared" si="27"/>
        <v>-9.0331453097702201E-4</v>
      </c>
      <c r="AD32">
        <f t="shared" si="14"/>
        <v>-8.5814880442817087E-4</v>
      </c>
      <c r="AE32">
        <f t="shared" si="15"/>
        <v>-8.3810651327211809E-4</v>
      </c>
      <c r="AF32">
        <f t="shared" si="16"/>
        <v>-7.5025514064491912E-4</v>
      </c>
      <c r="AG32">
        <f t="shared" si="17"/>
        <v>-7.3763738123141609E-4</v>
      </c>
      <c r="AH32">
        <f t="shared" si="18"/>
        <v>-8.1778419461146269E-4</v>
      </c>
      <c r="AI32">
        <f t="shared" si="28"/>
        <v>3.6978566797539881E-4</v>
      </c>
      <c r="AJ32">
        <f t="shared" si="19"/>
        <v>3.6978566797539881E-4</v>
      </c>
      <c r="AK32">
        <f t="shared" si="20"/>
        <v>3.6978546878296381E-4</v>
      </c>
    </row>
    <row r="33" spans="1:37" x14ac:dyDescent="0.25">
      <c r="A33">
        <f t="shared" si="21"/>
        <v>2.9000000000000012</v>
      </c>
      <c r="B33">
        <f t="shared" si="0"/>
        <v>0.10000000000000009</v>
      </c>
      <c r="D33">
        <f t="shared" si="22"/>
        <v>3.0275547453758071E-4</v>
      </c>
      <c r="E33">
        <f t="shared" si="1"/>
        <v>1.5474250491067209E-4</v>
      </c>
      <c r="F33">
        <f t="shared" si="2"/>
        <v>5.6454929579480599E-4</v>
      </c>
      <c r="G33">
        <f t="shared" si="3"/>
        <v>4.8258793761797906E-4</v>
      </c>
      <c r="H33">
        <f t="shared" si="4"/>
        <v>4.9898020925334447E-4</v>
      </c>
      <c r="I33">
        <f t="shared" si="5"/>
        <v>4.9570175492627143E-4</v>
      </c>
      <c r="J33">
        <f t="shared" si="23"/>
        <v>3.2522212991847177E-4</v>
      </c>
      <c r="K33">
        <f t="shared" si="24"/>
        <v>1.5474250491067209E-4</v>
      </c>
      <c r="L33">
        <f t="shared" si="6"/>
        <v>1.0658197433777855E-3</v>
      </c>
      <c r="N33">
        <f t="shared" si="25"/>
        <v>-7.3963800809330297E-4</v>
      </c>
      <c r="O33">
        <f t="shared" si="7"/>
        <v>-6.6567420728397264E-4</v>
      </c>
      <c r="P33">
        <f t="shared" si="8"/>
        <v>-6.7307058736490563E-4</v>
      </c>
      <c r="Q33">
        <f t="shared" si="9"/>
        <v>-6.0502389062032174E-4</v>
      </c>
      <c r="R33">
        <f t="shared" si="10"/>
        <v>3.0278314591312841E-4</v>
      </c>
      <c r="T33">
        <f t="shared" si="26"/>
        <v>-2.7851336142740123E-4</v>
      </c>
      <c r="U33">
        <f t="shared" si="11"/>
        <v>-2.506620252846611E-4</v>
      </c>
      <c r="V33">
        <f t="shared" si="12"/>
        <v>-2.33951223599017E-4</v>
      </c>
      <c r="W33">
        <f t="shared" si="13"/>
        <v>1.1010561555096593E-4</v>
      </c>
      <c r="Y33">
        <f t="shared" si="29"/>
        <v>2.8365999772800803E-4</v>
      </c>
      <c r="AC33">
        <f t="shared" si="27"/>
        <v>-7.3957133595079763E-4</v>
      </c>
      <c r="AD33">
        <f t="shared" si="14"/>
        <v>-7.0259276915325772E-4</v>
      </c>
      <c r="AE33">
        <f t="shared" si="15"/>
        <v>-6.8618353013684928E-4</v>
      </c>
      <c r="AF33">
        <f t="shared" si="16"/>
        <v>-6.1425691455508171E-4</v>
      </c>
      <c r="AG33">
        <f t="shared" si="17"/>
        <v>-6.0392636759038594E-4</v>
      </c>
      <c r="AH33">
        <f t="shared" si="18"/>
        <v>-6.6954502400629621E-4</v>
      </c>
      <c r="AI33">
        <f t="shared" si="28"/>
        <v>3.0275487784329742E-4</v>
      </c>
      <c r="AJ33">
        <f t="shared" si="19"/>
        <v>3.0275487784329742E-4</v>
      </c>
      <c r="AK33">
        <f t="shared" si="20"/>
        <v>3.027547147583362E-4</v>
      </c>
    </row>
    <row r="34" spans="1:37" x14ac:dyDescent="0.25">
      <c r="A34">
        <f t="shared" si="21"/>
        <v>3.0000000000000013</v>
      </c>
      <c r="B34">
        <f t="shared" si="0"/>
        <v>0.10000000000000009</v>
      </c>
      <c r="D34">
        <f t="shared" si="22"/>
        <v>2.478752176666352E-4</v>
      </c>
      <c r="E34">
        <f t="shared" si="1"/>
        <v>1.2379400392853766E-4</v>
      </c>
      <c r="F34">
        <f t="shared" si="2"/>
        <v>4.7094295414056389E-4</v>
      </c>
      <c r="G34">
        <f t="shared" si="3"/>
        <v>4.0151316409815855E-4</v>
      </c>
      <c r="H34">
        <f t="shared" si="4"/>
        <v>4.1539912210663963E-4</v>
      </c>
      <c r="I34">
        <f t="shared" si="5"/>
        <v>4.1262193050494345E-4</v>
      </c>
      <c r="J34">
        <f t="shared" si="23"/>
        <v>2.6820796721674053E-4</v>
      </c>
      <c r="K34">
        <f t="shared" si="24"/>
        <v>1.2379400392853766E-4</v>
      </c>
      <c r="L34">
        <f t="shared" si="6"/>
        <v>9.4685836864715313E-4</v>
      </c>
      <c r="N34">
        <f t="shared" si="25"/>
        <v>-6.0556629182625683E-4</v>
      </c>
      <c r="O34">
        <f t="shared" si="7"/>
        <v>-5.450096626436311E-4</v>
      </c>
      <c r="P34">
        <f t="shared" si="8"/>
        <v>-5.5106532556189363E-4</v>
      </c>
      <c r="Q34">
        <f t="shared" si="9"/>
        <v>-4.9535322671387795E-4</v>
      </c>
      <c r="R34">
        <f t="shared" si="10"/>
        <v>2.4789865433060866E-4</v>
      </c>
      <c r="T34">
        <f t="shared" si="26"/>
        <v>-2.2021123110193186E-4</v>
      </c>
      <c r="U34">
        <f t="shared" si="11"/>
        <v>-1.9819010799173865E-4</v>
      </c>
      <c r="V34">
        <f t="shared" si="12"/>
        <v>-1.8497743412562273E-4</v>
      </c>
      <c r="W34">
        <f t="shared" si="13"/>
        <v>8.7056840028963722E-5</v>
      </c>
      <c r="Y34">
        <f t="shared" si="29"/>
        <v>2.3263072320578199E-4</v>
      </c>
      <c r="AC34">
        <f t="shared" si="27"/>
        <v>-6.0550975568659485E-4</v>
      </c>
      <c r="AD34">
        <f t="shared" si="14"/>
        <v>-5.7523426790226503E-4</v>
      </c>
      <c r="AE34">
        <f t="shared" si="15"/>
        <v>-5.6179952019796877E-4</v>
      </c>
      <c r="AF34">
        <f t="shared" si="16"/>
        <v>-5.0291099205850443E-4</v>
      </c>
      <c r="AG34">
        <f t="shared" si="17"/>
        <v>-4.9445305613720454E-4</v>
      </c>
      <c r="AH34">
        <f t="shared" si="18"/>
        <v>-5.4817706446940947E-4</v>
      </c>
      <c r="AI34">
        <f t="shared" si="28"/>
        <v>2.4787471228876278E-4</v>
      </c>
      <c r="AJ34">
        <f t="shared" si="19"/>
        <v>2.4787471228876278E-4</v>
      </c>
      <c r="AK34">
        <f t="shared" si="20"/>
        <v>2.4787457876609872E-4</v>
      </c>
    </row>
    <row r="35" spans="1:37" x14ac:dyDescent="0.25">
      <c r="A35">
        <f t="shared" si="21"/>
        <v>3.1000000000000014</v>
      </c>
      <c r="B35">
        <f t="shared" si="0"/>
        <v>0.10000000000000009</v>
      </c>
      <c r="D35">
        <f t="shared" si="22"/>
        <v>2.0294306362957285E-4</v>
      </c>
      <c r="E35">
        <f t="shared" si="1"/>
        <v>9.9035203142830102E-5</v>
      </c>
      <c r="F35">
        <f t="shared" si="2"/>
        <v>3.928148898763774E-4</v>
      </c>
      <c r="G35">
        <f t="shared" si="3"/>
        <v>3.3405895252966791E-4</v>
      </c>
      <c r="H35">
        <f t="shared" si="4"/>
        <v>3.4581013999900978E-4</v>
      </c>
      <c r="I35">
        <f t="shared" si="5"/>
        <v>3.4345990250514143E-4</v>
      </c>
      <c r="J35">
        <f t="shared" si="23"/>
        <v>2.2124755282398577E-4</v>
      </c>
      <c r="K35">
        <f t="shared" si="24"/>
        <v>9.9035203142830102E-5</v>
      </c>
      <c r="L35">
        <f t="shared" si="6"/>
        <v>8.4226901146815475E-4</v>
      </c>
      <c r="N35">
        <f t="shared" si="25"/>
        <v>-4.9579730866121732E-4</v>
      </c>
      <c r="O35">
        <f t="shared" si="7"/>
        <v>-4.4621757779509557E-4</v>
      </c>
      <c r="P35">
        <f t="shared" si="8"/>
        <v>-4.5117555088170771E-4</v>
      </c>
      <c r="Q35">
        <f t="shared" si="9"/>
        <v>-4.0556219848487572E-4</v>
      </c>
      <c r="R35">
        <f t="shared" si="10"/>
        <v>2.0296289158894696E-4</v>
      </c>
      <c r="T35">
        <f t="shared" si="26"/>
        <v>-1.7411368005792744E-4</v>
      </c>
      <c r="U35">
        <f t="shared" si="11"/>
        <v>-1.5670231205213469E-4</v>
      </c>
      <c r="V35">
        <f t="shared" si="12"/>
        <v>-1.4625549124865902E-4</v>
      </c>
      <c r="W35">
        <f t="shared" si="13"/>
        <v>6.8832941516233962E-5</v>
      </c>
      <c r="Y35">
        <f t="shared" si="29"/>
        <v>1.902172013109334E-4</v>
      </c>
      <c r="AC35">
        <f t="shared" si="27"/>
        <v>-4.9574942457752556E-4</v>
      </c>
      <c r="AD35">
        <f t="shared" si="14"/>
        <v>-4.7096195334864926E-4</v>
      </c>
      <c r="AE35">
        <f t="shared" si="15"/>
        <v>-4.5996251299083542E-4</v>
      </c>
      <c r="AF35">
        <f t="shared" si="16"/>
        <v>-4.1174866727623825E-4</v>
      </c>
      <c r="AG35">
        <f t="shared" si="17"/>
        <v>-4.0482389550052438E-4</v>
      </c>
      <c r="AH35">
        <f t="shared" si="18"/>
        <v>-4.4880939031140249E-4</v>
      </c>
      <c r="AI35">
        <f t="shared" si="28"/>
        <v>2.0294263606890112E-4</v>
      </c>
      <c r="AJ35">
        <f t="shared" si="19"/>
        <v>2.0294263606890112E-4</v>
      </c>
      <c r="AK35">
        <f t="shared" si="20"/>
        <v>2.0294252674979725E-4</v>
      </c>
    </row>
    <row r="40" spans="1:37" x14ac:dyDescent="0.25">
      <c r="E40" s="1"/>
      <c r="F40" s="1"/>
      <c r="G40" s="1"/>
      <c r="H40" s="1"/>
      <c r="I40" s="1"/>
    </row>
    <row r="41" spans="1:37" x14ac:dyDescent="0.25">
      <c r="E41" s="1"/>
      <c r="F41" s="1"/>
      <c r="G41" s="1"/>
      <c r="H41" s="1"/>
      <c r="I41" s="1"/>
    </row>
    <row r="42" spans="1:37" x14ac:dyDescent="0.25">
      <c r="E42" s="1"/>
      <c r="F42" s="1"/>
      <c r="G42" s="1"/>
      <c r="H42" s="1"/>
      <c r="I42" s="1"/>
    </row>
    <row r="43" spans="1:37" x14ac:dyDescent="0.25">
      <c r="E43" s="1"/>
      <c r="F43" s="1"/>
      <c r="G43" s="1"/>
      <c r="H43" s="1"/>
      <c r="I43" s="1"/>
    </row>
    <row r="44" spans="1:37" x14ac:dyDescent="0.25">
      <c r="E44" s="1"/>
      <c r="F44" s="1"/>
      <c r="G44" s="1"/>
      <c r="H44" s="1"/>
      <c r="I44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H104"/>
  <sheetViews>
    <sheetView workbookViewId="0">
      <pane xSplit="1" ySplit="3" topLeftCell="S4" activePane="bottomRight" state="frozen"/>
      <selection pane="topRight" activeCell="B1" sqref="B1"/>
      <selection pane="bottomLeft" activeCell="A4" sqref="A4"/>
      <selection pane="bottomRight" activeCell="H2" sqref="H2"/>
    </sheetView>
  </sheetViews>
  <sheetFormatPr defaultRowHeight="15" x14ac:dyDescent="0.25"/>
  <cols>
    <col min="2" max="2" width="11.5703125" customWidth="1"/>
    <col min="3" max="4" width="9.140625" customWidth="1"/>
    <col min="5" max="5" width="16" customWidth="1"/>
    <col min="6" max="7" width="15.42578125" bestFit="1" customWidth="1"/>
    <col min="8" max="8" width="17" customWidth="1"/>
    <col min="9" max="9" width="11.42578125" customWidth="1"/>
    <col min="10" max="10" width="16" customWidth="1"/>
    <col min="30" max="30" width="15.85546875" customWidth="1"/>
    <col min="31" max="31" width="16" customWidth="1"/>
    <col min="34" max="34" width="16.7109375" customWidth="1"/>
  </cols>
  <sheetData>
    <row r="2" spans="1:34" x14ac:dyDescent="0.25">
      <c r="F2" t="s">
        <v>2</v>
      </c>
    </row>
    <row r="3" spans="1:34" x14ac:dyDescent="0.25">
      <c r="A3" t="s">
        <v>20</v>
      </c>
      <c r="B3" t="s">
        <v>10</v>
      </c>
      <c r="E3" t="s">
        <v>1</v>
      </c>
      <c r="F3" t="s">
        <v>22</v>
      </c>
      <c r="H3" t="s">
        <v>13</v>
      </c>
      <c r="I3" t="s">
        <v>14</v>
      </c>
      <c r="J3" t="s">
        <v>16</v>
      </c>
      <c r="L3" t="s">
        <v>3</v>
      </c>
      <c r="M3" t="s">
        <v>4</v>
      </c>
      <c r="N3" t="s">
        <v>5</v>
      </c>
      <c r="O3" t="s">
        <v>6</v>
      </c>
      <c r="P3" t="s">
        <v>17</v>
      </c>
      <c r="R3" t="s">
        <v>3</v>
      </c>
      <c r="S3" t="s">
        <v>4</v>
      </c>
      <c r="T3" t="s">
        <v>5</v>
      </c>
      <c r="U3" t="s">
        <v>18</v>
      </c>
      <c r="W3" t="s">
        <v>19</v>
      </c>
      <c r="AA3" t="s">
        <v>21</v>
      </c>
      <c r="AB3" t="str">
        <f>E3</f>
        <v>euler, fwd</v>
      </c>
      <c r="AC3" t="str">
        <f>F2</f>
        <v>euler, backward</v>
      </c>
      <c r="AD3" t="str">
        <f>H3</f>
        <v>trapezoidal, impl</v>
      </c>
      <c r="AE3" t="str">
        <f>J3</f>
        <v>trapezoidal, expl</v>
      </c>
      <c r="AF3" t="str">
        <f>P3</f>
        <v>RK4</v>
      </c>
      <c r="AG3" t="str">
        <f>U3</f>
        <v>RK3</v>
      </c>
      <c r="AH3" t="str">
        <f>W3</f>
        <v>Adams-Bashforth</v>
      </c>
    </row>
    <row r="4" spans="1:34" x14ac:dyDescent="0.25">
      <c r="A4">
        <v>0</v>
      </c>
      <c r="E4">
        <v>0.1</v>
      </c>
      <c r="F4">
        <v>0.1</v>
      </c>
      <c r="H4">
        <v>0.1</v>
      </c>
      <c r="J4">
        <v>0.1</v>
      </c>
      <c r="P4">
        <v>0.1</v>
      </c>
      <c r="U4">
        <v>0.1</v>
      </c>
      <c r="W4">
        <v>0.1</v>
      </c>
      <c r="AA4">
        <f>A4</f>
        <v>0</v>
      </c>
      <c r="AB4">
        <f>E4</f>
        <v>0.1</v>
      </c>
      <c r="AC4">
        <f>F4</f>
        <v>0.1</v>
      </c>
      <c r="AD4">
        <f t="shared" ref="AD4:AD67" si="0">H4</f>
        <v>0.1</v>
      </c>
      <c r="AE4">
        <f t="shared" ref="AE4:AE67" si="1">J4</f>
        <v>0.1</v>
      </c>
      <c r="AF4">
        <f t="shared" ref="AF4:AF67" si="2">P4</f>
        <v>0.1</v>
      </c>
      <c r="AG4">
        <f t="shared" ref="AG4:AG67" si="3">U4</f>
        <v>0.1</v>
      </c>
      <c r="AH4">
        <f t="shared" ref="AH4:AH67" si="4">W4</f>
        <v>0.1</v>
      </c>
    </row>
    <row r="5" spans="1:34" x14ac:dyDescent="0.25">
      <c r="A5">
        <f>A4+0.1</f>
        <v>0.1</v>
      </c>
      <c r="B5">
        <f t="shared" ref="B5:B35" si="5">A5-A4</f>
        <v>0.1</v>
      </c>
      <c r="E5">
        <f t="shared" ref="E5:E35" si="6">E4+B5*(ff(E4,A5))</f>
        <v>0.13</v>
      </c>
      <c r="F5">
        <f>IF(A5&lt;5,(F4+0.5*B5)/(2*B5+1),(F4)/(2*B5+1) )</f>
        <v>0.12500000000000003</v>
      </c>
      <c r="H5">
        <f>AVERAGE(F5,E5)</f>
        <v>0.1275</v>
      </c>
      <c r="I5">
        <f>J4+B5*(ff(J4,A5))</f>
        <v>0.13</v>
      </c>
      <c r="J5">
        <f>J4+B5*AVERAGE(ff(I5,A5),ff(J4,A5))</f>
        <v>0.127</v>
      </c>
      <c r="L5">
        <f>ff(P4,A5)</f>
        <v>0.3</v>
      </c>
      <c r="M5">
        <f>ff(P4+L5/2*B5,A5)</f>
        <v>0.27</v>
      </c>
      <c r="N5">
        <f>ff(P4+M5/2*B5,A5)</f>
        <v>0.27300000000000002</v>
      </c>
      <c r="O5">
        <f>ff(P4+N5*B5,A5)</f>
        <v>0.24539999999999995</v>
      </c>
      <c r="P5">
        <f>P4+(1/6*L5+1/3*M5+1/3*N5+1/6*O5)*B5</f>
        <v>0.12719</v>
      </c>
      <c r="R5">
        <f>ff(U4,A5)</f>
        <v>0.3</v>
      </c>
      <c r="S5">
        <f>ff(U4+R5/2*B5,A5)</f>
        <v>0.27</v>
      </c>
      <c r="T5">
        <f>ff(U4-1*R5*B5+S5*2*B5,A5)</f>
        <v>0.252</v>
      </c>
      <c r="U5">
        <f>U4+(1/6*R5+2/3*S5+1/3*T5)*B5</f>
        <v>0.13140000000000002</v>
      </c>
      <c r="W5">
        <f>E5</f>
        <v>0.13</v>
      </c>
      <c r="AA5">
        <f>A5</f>
        <v>0.1</v>
      </c>
      <c r="AB5">
        <f>E5</f>
        <v>0.13</v>
      </c>
      <c r="AC5">
        <f>F5</f>
        <v>0.12500000000000003</v>
      </c>
      <c r="AD5">
        <f t="shared" si="0"/>
        <v>0.1275</v>
      </c>
      <c r="AE5">
        <f t="shared" si="1"/>
        <v>0.127</v>
      </c>
      <c r="AF5">
        <f t="shared" si="2"/>
        <v>0.12719</v>
      </c>
      <c r="AG5">
        <f t="shared" si="3"/>
        <v>0.13140000000000002</v>
      </c>
      <c r="AH5">
        <f t="shared" si="4"/>
        <v>0.13</v>
      </c>
    </row>
    <row r="6" spans="1:34" x14ac:dyDescent="0.25">
      <c r="A6">
        <f t="shared" ref="A6:A69" si="7">A5+0.1</f>
        <v>0.2</v>
      </c>
      <c r="B6">
        <f t="shared" si="5"/>
        <v>0.1</v>
      </c>
      <c r="E6">
        <f t="shared" si="6"/>
        <v>0.154</v>
      </c>
      <c r="F6">
        <f t="shared" ref="F6:F69" si="8">IF(A6&lt;5,(F5+0.5*B6)/(2*B6+1),(F5)/(2*B6+1) )</f>
        <v>0.14583333333333337</v>
      </c>
      <c r="H6">
        <f t="shared" ref="H6:H69" si="9">AVERAGE(F6,E6)</f>
        <v>0.1499166666666667</v>
      </c>
      <c r="I6">
        <f>J5+B6*(ff(J5,A6))</f>
        <v>0.15160000000000001</v>
      </c>
      <c r="J6">
        <f>J5+B6*AVERAGE(ff(I6,A6),ff(J5,A6))</f>
        <v>0.14913999999999999</v>
      </c>
      <c r="L6">
        <f>ff(P5,A6)</f>
        <v>0.24562</v>
      </c>
      <c r="M6">
        <f>ff(P5+L6/2*B6,A6)</f>
        <v>0.22105799999999998</v>
      </c>
      <c r="N6">
        <f>ff(P5+M6/2*B6,A6)</f>
        <v>0.2235142</v>
      </c>
      <c r="O6">
        <f>ff(P5+N6*B6,A6)</f>
        <v>0.20091715999999998</v>
      </c>
      <c r="P6">
        <f>P5+(1/6*L6+1/3*M6+1/3*N6+1/6*O6)*B6</f>
        <v>0.14945135933333334</v>
      </c>
      <c r="R6">
        <f>ff(U5,A6)</f>
        <v>0.23719999999999997</v>
      </c>
      <c r="S6">
        <f>ff(U5+R6/2*B6,A6)</f>
        <v>0.21347999999999995</v>
      </c>
      <c r="T6">
        <f>ff(U5-1*R6*B6+S6*2*B6,A6)</f>
        <v>0.19924799999999998</v>
      </c>
      <c r="U6">
        <f>U5+(1/6*R6+2/3*S6+1/3*T6)*B6</f>
        <v>0.15622693333333335</v>
      </c>
      <c r="W6">
        <f>E6</f>
        <v>0.154</v>
      </c>
      <c r="AA6">
        <f>A6</f>
        <v>0.2</v>
      </c>
      <c r="AB6">
        <f>E6</f>
        <v>0.154</v>
      </c>
      <c r="AC6">
        <f>F6</f>
        <v>0.14583333333333337</v>
      </c>
      <c r="AD6">
        <f t="shared" si="0"/>
        <v>0.1499166666666667</v>
      </c>
      <c r="AE6">
        <f t="shared" si="1"/>
        <v>0.14913999999999999</v>
      </c>
      <c r="AF6">
        <f t="shared" si="2"/>
        <v>0.14945135933333334</v>
      </c>
      <c r="AG6">
        <f t="shared" si="3"/>
        <v>0.15622693333333335</v>
      </c>
      <c r="AH6">
        <f t="shared" si="4"/>
        <v>0.154</v>
      </c>
    </row>
    <row r="7" spans="1:34" x14ac:dyDescent="0.25">
      <c r="A7">
        <f t="shared" si="7"/>
        <v>0.30000000000000004</v>
      </c>
      <c r="B7">
        <f t="shared" si="5"/>
        <v>0.10000000000000003</v>
      </c>
      <c r="E7">
        <f t="shared" si="6"/>
        <v>0.17319999999999999</v>
      </c>
      <c r="F7">
        <f t="shared" si="8"/>
        <v>0.16319444444444448</v>
      </c>
      <c r="H7">
        <f t="shared" si="9"/>
        <v>0.16819722222222222</v>
      </c>
      <c r="I7">
        <f>J6+B7*(ff(J6,A7))</f>
        <v>0.16931200000000002</v>
      </c>
      <c r="J7">
        <f>J6+B7*AVERAGE(ff(I7,A7),ff(J6,A7))</f>
        <v>0.16729479999999999</v>
      </c>
      <c r="L7">
        <f>ff(P6,A7)</f>
        <v>0.20109728133333332</v>
      </c>
      <c r="M7">
        <f>ff(P6+L7/2*B7,A7)</f>
        <v>0.18098755319999998</v>
      </c>
      <c r="N7">
        <f>ff(P6+M7/2*B7,A7)</f>
        <v>0.18299852601333333</v>
      </c>
      <c r="O7">
        <f>ff(P6+N7*B7,A7)</f>
        <v>0.16449757613066662</v>
      </c>
      <c r="P7">
        <f>P6+(1/6*L7+1/3*M7+1/3*N7+1/6*O7)*B7</f>
        <v>0.16767747626484444</v>
      </c>
      <c r="R7">
        <f>ff(U6,A7)</f>
        <v>0.18754613333333331</v>
      </c>
      <c r="S7">
        <f>ff(U6+R7/2*B7,A7)</f>
        <v>0.16879151999999997</v>
      </c>
      <c r="T7">
        <f>ff(U6-1*R7*B7+S7*2*B7,A7)</f>
        <v>0.157538752</v>
      </c>
      <c r="U7">
        <f>U6+(1/6*R7+2/3*S7+1/3*T7)*B7</f>
        <v>0.17585676195555558</v>
      </c>
      <c r="W7">
        <f>E7</f>
        <v>0.17319999999999999</v>
      </c>
      <c r="AA7">
        <f>A7</f>
        <v>0.30000000000000004</v>
      </c>
      <c r="AB7">
        <f>E7</f>
        <v>0.17319999999999999</v>
      </c>
      <c r="AC7">
        <f>F7</f>
        <v>0.16319444444444448</v>
      </c>
      <c r="AD7">
        <f t="shared" si="0"/>
        <v>0.16819722222222222</v>
      </c>
      <c r="AE7">
        <f t="shared" si="1"/>
        <v>0.16729479999999999</v>
      </c>
      <c r="AF7">
        <f t="shared" si="2"/>
        <v>0.16767747626484444</v>
      </c>
      <c r="AG7">
        <f t="shared" si="3"/>
        <v>0.17585676195555558</v>
      </c>
      <c r="AH7">
        <f t="shared" si="4"/>
        <v>0.17319999999999999</v>
      </c>
    </row>
    <row r="8" spans="1:34" x14ac:dyDescent="0.25">
      <c r="A8">
        <f t="shared" si="7"/>
        <v>0.4</v>
      </c>
      <c r="B8">
        <f t="shared" si="5"/>
        <v>9.9999999999999978E-2</v>
      </c>
      <c r="E8">
        <f t="shared" si="6"/>
        <v>0.18856000000000001</v>
      </c>
      <c r="F8">
        <f t="shared" si="8"/>
        <v>0.17766203703703706</v>
      </c>
      <c r="H8">
        <f t="shared" si="9"/>
        <v>0.18311101851851852</v>
      </c>
      <c r="I8">
        <f>J7+B8*(ff(J7,A8))</f>
        <v>0.18383584</v>
      </c>
      <c r="J8">
        <f>J7+B8*AVERAGE(ff(I8,A8),ff(J7,A8))</f>
        <v>0.18218173599999998</v>
      </c>
      <c r="L8">
        <f>ff(P7,A8)</f>
        <v>0.16464504747031111</v>
      </c>
      <c r="M8">
        <f>ff(P7+L8/2*B8,A8)</f>
        <v>0.14818054272328002</v>
      </c>
      <c r="N8">
        <f>ff(P7+M8/2*B8,A8)</f>
        <v>0.14982699319798309</v>
      </c>
      <c r="O8">
        <f>ff(P7+N8*B8,A8)</f>
        <v>0.13467964883071448</v>
      </c>
      <c r="P8">
        <f>P7+(1/6*L8+1/3*M8+1/3*N8+1/6*O8)*B8</f>
        <v>0.18259980573390364</v>
      </c>
      <c r="R8">
        <f>ff(U7,A8)</f>
        <v>0.14828647608888884</v>
      </c>
      <c r="S8">
        <f>ff(U7+R8/2*B8,A8)</f>
        <v>0.13345782847999998</v>
      </c>
      <c r="T8">
        <f>ff(U7-1*R8*B8+S8*2*B8,A8)</f>
        <v>0.12456063991466665</v>
      </c>
      <c r="U8">
        <f>U7+(1/6*R8+2/3*S8+1/3*T8)*B8</f>
        <v>0.19137741311952594</v>
      </c>
      <c r="W8">
        <f>W7+B8/24*(55*ff(W7,A8)-59*ff(W6,A8)+37*ff(W5,A8)-9*ff(W4,A8))</f>
        <v>0.18695000000000001</v>
      </c>
      <c r="AA8">
        <f>A8</f>
        <v>0.4</v>
      </c>
      <c r="AB8">
        <f>E8</f>
        <v>0.18856000000000001</v>
      </c>
      <c r="AC8">
        <f>F8</f>
        <v>0.17766203703703706</v>
      </c>
      <c r="AD8">
        <f t="shared" si="0"/>
        <v>0.18311101851851852</v>
      </c>
      <c r="AE8">
        <f t="shared" si="1"/>
        <v>0.18218173599999998</v>
      </c>
      <c r="AF8">
        <f t="shared" si="2"/>
        <v>0.18259980573390364</v>
      </c>
      <c r="AG8">
        <f t="shared" si="3"/>
        <v>0.19137741311952594</v>
      </c>
      <c r="AH8">
        <f t="shared" si="4"/>
        <v>0.18695000000000001</v>
      </c>
    </row>
    <row r="9" spans="1:34" x14ac:dyDescent="0.25">
      <c r="A9">
        <f t="shared" si="7"/>
        <v>0.5</v>
      </c>
      <c r="B9">
        <f t="shared" si="5"/>
        <v>9.9999999999999978E-2</v>
      </c>
      <c r="E9">
        <f t="shared" si="6"/>
        <v>0.200848</v>
      </c>
      <c r="F9">
        <f t="shared" si="8"/>
        <v>0.18971836419753088</v>
      </c>
      <c r="H9">
        <f t="shared" si="9"/>
        <v>0.19528318209876544</v>
      </c>
      <c r="I9">
        <f>J8+B9*(ff(J8,A9))</f>
        <v>0.19574538879999998</v>
      </c>
      <c r="J9">
        <f>J8+B9*AVERAGE(ff(I9,A9),ff(J8,A9))</f>
        <v>0.19438902351999998</v>
      </c>
      <c r="L9">
        <f>ff(P8,A9)</f>
        <v>0.13480038853219273</v>
      </c>
      <c r="M9">
        <f>ff(P8+L9/2*B9,A9)</f>
        <v>0.12132034967897348</v>
      </c>
      <c r="N9">
        <f>ff(P8+M9/2*B9,A9)</f>
        <v>0.1226683535642954</v>
      </c>
      <c r="O9">
        <f>ff(P8+N9*B9,A9)</f>
        <v>0.11026671781933367</v>
      </c>
      <c r="P9">
        <f>P8+(1/6*L9+1/3*M9+1/3*N9+1/6*O9)*B9</f>
        <v>0.19481721428120469</v>
      </c>
      <c r="R9">
        <f>ff(U8,A9)</f>
        <v>0.11724517376094812</v>
      </c>
      <c r="S9">
        <f>ff(U8+R9/2*B9,A9)</f>
        <v>0.10552065638485331</v>
      </c>
      <c r="T9">
        <f>ff(U8-1*R9*B9+S9*2*B9,A9)</f>
        <v>9.8485945959196408E-2</v>
      </c>
      <c r="U9">
        <f>U8+(1/6*R9+2/3*S9+1/3*T9)*B9</f>
        <v>0.2036490746398385</v>
      </c>
      <c r="W9">
        <f>W8+B9/24*(55*ff(W8,A9)-59*ff(W7,A9)+37*ff(W6,A9)-9*ff(W5,A9))</f>
        <v>0.19868791666666666</v>
      </c>
      <c r="AA9">
        <f>A9</f>
        <v>0.5</v>
      </c>
      <c r="AB9">
        <f>E9</f>
        <v>0.200848</v>
      </c>
      <c r="AC9">
        <f>F9</f>
        <v>0.18971836419753088</v>
      </c>
      <c r="AD9">
        <f t="shared" si="0"/>
        <v>0.19528318209876544</v>
      </c>
      <c r="AE9">
        <f t="shared" si="1"/>
        <v>0.19438902351999998</v>
      </c>
      <c r="AF9">
        <f t="shared" si="2"/>
        <v>0.19481721428120469</v>
      </c>
      <c r="AG9">
        <f t="shared" si="3"/>
        <v>0.2036490746398385</v>
      </c>
      <c r="AH9">
        <f t="shared" si="4"/>
        <v>0.19868791666666666</v>
      </c>
    </row>
    <row r="10" spans="1:34" x14ac:dyDescent="0.25">
      <c r="A10">
        <f t="shared" si="7"/>
        <v>0.6</v>
      </c>
      <c r="B10">
        <f t="shared" si="5"/>
        <v>9.9999999999999978E-2</v>
      </c>
      <c r="E10">
        <f t="shared" si="6"/>
        <v>0.21067839999999999</v>
      </c>
      <c r="F10">
        <f t="shared" si="8"/>
        <v>0.19976530349794239</v>
      </c>
      <c r="H10">
        <f t="shared" si="9"/>
        <v>0.20522185174897117</v>
      </c>
      <c r="I10">
        <f>J9+B10*(ff(J9,A10))</f>
        <v>0.20551121881599999</v>
      </c>
      <c r="J10">
        <f>J9+B10*AVERAGE(ff(I10,A10),ff(J9,A10))</f>
        <v>0.20439899928639998</v>
      </c>
      <c r="L10">
        <f>ff(P9,A10)</f>
        <v>0.11036557143759063</v>
      </c>
      <c r="M10">
        <f>ff(P9+L10/2*B10,A10)</f>
        <v>9.9329014293831563E-2</v>
      </c>
      <c r="N10">
        <f>ff(P9+M10/2*B10,A10)</f>
        <v>0.10043267000820749</v>
      </c>
      <c r="O10">
        <f>ff(P9+N10*B10,A10)</f>
        <v>9.0279037435949117E-2</v>
      </c>
      <c r="P10">
        <f>P9+(1/6*L10+1/3*M10+1/3*N10+1/6*O10)*B10</f>
        <v>0.20482001390583165</v>
      </c>
      <c r="R10">
        <f>ff(U9,A10)</f>
        <v>9.2701850720322998E-2</v>
      </c>
      <c r="S10">
        <f>ff(U9+R10/2*B10,A10)</f>
        <v>8.3431665648290687E-2</v>
      </c>
      <c r="T10">
        <f>ff(U9-1*R10*B10+S10*2*B10,A10)</f>
        <v>7.7869554605071334E-2</v>
      </c>
      <c r="U10">
        <f>U9+(1/6*R10+2/3*S10+1/3*T10)*B10</f>
        <v>0.21335186834856565</v>
      </c>
      <c r="W10">
        <f>W9+B10/24*(55*ff(W9,A10)-59*ff(W8,A10)+37*ff(W7,A10)-9*ff(W6,A10))</f>
        <v>0.20768637152777777</v>
      </c>
      <c r="AA10">
        <f>A10</f>
        <v>0.6</v>
      </c>
      <c r="AB10">
        <f>E10</f>
        <v>0.21067839999999999</v>
      </c>
      <c r="AC10">
        <f>F10</f>
        <v>0.19976530349794239</v>
      </c>
      <c r="AD10">
        <f t="shared" si="0"/>
        <v>0.20522185174897117</v>
      </c>
      <c r="AE10">
        <f t="shared" si="1"/>
        <v>0.20439899928639998</v>
      </c>
      <c r="AF10">
        <f t="shared" si="2"/>
        <v>0.20482001390583165</v>
      </c>
      <c r="AG10">
        <f t="shared" si="3"/>
        <v>0.21335186834856565</v>
      </c>
      <c r="AH10">
        <f t="shared" si="4"/>
        <v>0.20768637152777777</v>
      </c>
    </row>
    <row r="11" spans="1:34" x14ac:dyDescent="0.25">
      <c r="A11">
        <f t="shared" si="7"/>
        <v>0.7</v>
      </c>
      <c r="B11">
        <f t="shared" si="5"/>
        <v>9.9999999999999978E-2</v>
      </c>
      <c r="E11">
        <f t="shared" si="6"/>
        <v>0.21854272</v>
      </c>
      <c r="F11">
        <f t="shared" si="8"/>
        <v>0.20813775291495198</v>
      </c>
      <c r="H11">
        <f t="shared" si="9"/>
        <v>0.21334023645747599</v>
      </c>
      <c r="I11">
        <f>J10+B11*(ff(J10,A11))</f>
        <v>0.21351919942911998</v>
      </c>
      <c r="J11">
        <f>J10+B11*AVERAGE(ff(I11,A11),ff(J10,A11))</f>
        <v>0.212607179414848</v>
      </c>
      <c r="L11">
        <f>ff(P10,A11)</f>
        <v>9.035997218833669E-2</v>
      </c>
      <c r="M11">
        <f>ff(P10+L11/2*B11,A11)</f>
        <v>8.1323974969502999E-2</v>
      </c>
      <c r="N11">
        <f>ff(P10+M11/2*B11,A11)</f>
        <v>8.2227574691386418E-2</v>
      </c>
      <c r="O11">
        <f>ff(P10+N11*B11,A11)</f>
        <v>7.3914457250059407E-2</v>
      </c>
      <c r="P11">
        <f>P10+(1/6*L11+1/3*M11+1/3*N11+1/6*O11)*B11</f>
        <v>0.2130096393851679</v>
      </c>
      <c r="R11">
        <f>ff(U10,A11)</f>
        <v>7.3296263302868703E-2</v>
      </c>
      <c r="S11">
        <f>ff(U10+R11/2*B11,A11)</f>
        <v>6.5966636972581816E-2</v>
      </c>
      <c r="T11">
        <f>ff(U10-1*R11*B11+S11*2*B11,A11)</f>
        <v>6.1568861174409684E-2</v>
      </c>
      <c r="U11">
        <f>U10+(1/6*R11+2/3*S11+1/3*T11)*B11</f>
        <v>0.22102354390759923</v>
      </c>
      <c r="W11">
        <f>W10+B11/24*(55*ff(W10,A11)-59*ff(W9,A11)+37*ff(W8,A11)-9*ff(W7,A11))</f>
        <v>0.21553209360532408</v>
      </c>
      <c r="AA11">
        <f>A11</f>
        <v>0.7</v>
      </c>
      <c r="AB11">
        <f>E11</f>
        <v>0.21854272</v>
      </c>
      <c r="AC11">
        <f>F11</f>
        <v>0.20813775291495198</v>
      </c>
      <c r="AD11">
        <f t="shared" si="0"/>
        <v>0.21334023645747599</v>
      </c>
      <c r="AE11">
        <f t="shared" si="1"/>
        <v>0.212607179414848</v>
      </c>
      <c r="AF11">
        <f t="shared" si="2"/>
        <v>0.2130096393851679</v>
      </c>
      <c r="AG11">
        <f t="shared" si="3"/>
        <v>0.22102354390759923</v>
      </c>
      <c r="AH11">
        <f t="shared" si="4"/>
        <v>0.21553209360532408</v>
      </c>
    </row>
    <row r="12" spans="1:34" x14ac:dyDescent="0.25">
      <c r="A12">
        <f t="shared" si="7"/>
        <v>0.79999999999999993</v>
      </c>
      <c r="B12">
        <f t="shared" si="5"/>
        <v>9.9999999999999978E-2</v>
      </c>
      <c r="E12">
        <f t="shared" si="6"/>
        <v>0.224834176</v>
      </c>
      <c r="F12">
        <f t="shared" si="8"/>
        <v>0.21511479409579334</v>
      </c>
      <c r="H12">
        <f t="shared" si="9"/>
        <v>0.21997448504789668</v>
      </c>
      <c r="I12">
        <f>J11+B12*(ff(J11,A12))</f>
        <v>0.2200857435318784</v>
      </c>
      <c r="J12">
        <f>J11+B12*AVERAGE(ff(I12,A12),ff(J11,A12))</f>
        <v>0.21933788712017535</v>
      </c>
      <c r="L12">
        <f>ff(P11,A12)</f>
        <v>7.3980721229664204E-2</v>
      </c>
      <c r="M12">
        <f>ff(P11+L12/2*B12,A12)</f>
        <v>6.6582649106697811E-2</v>
      </c>
      <c r="N12">
        <f>ff(P11+M12/2*B12,A12)</f>
        <v>6.7322456318994417E-2</v>
      </c>
      <c r="O12">
        <f>ff(P11+N12*B12,A12)</f>
        <v>6.0516229965865309E-2</v>
      </c>
      <c r="P12">
        <f>P11+(1/6*L12+1/3*M12+1/3*N12+1/6*O12)*B12</f>
        <v>0.21971475875261645</v>
      </c>
      <c r="R12">
        <f>ff(U11,A12)</f>
        <v>5.7952912184801531E-2</v>
      </c>
      <c r="S12">
        <f>ff(U11+R12/2*B12,A12)</f>
        <v>5.2157620966321372E-2</v>
      </c>
      <c r="T12">
        <f>ff(U11-1*R12*B12+S12*2*B12,A12)</f>
        <v>4.8680446235233321E-2</v>
      </c>
      <c r="U12">
        <f>U11+(1/6*R12+2/3*S12+1/3*T12)*B12</f>
        <v>0.22708928204960846</v>
      </c>
      <c r="W12">
        <f>W11+B12/24*(55*ff(W11,A12)-59*ff(W10,A12)+37*ff(W9,A12)-9*ff(W8,A12))</f>
        <v>0.22161815906515239</v>
      </c>
      <c r="AA12">
        <f>A12</f>
        <v>0.79999999999999993</v>
      </c>
      <c r="AB12">
        <f>E12</f>
        <v>0.224834176</v>
      </c>
      <c r="AC12">
        <f>F12</f>
        <v>0.21511479409579334</v>
      </c>
      <c r="AD12">
        <f t="shared" si="0"/>
        <v>0.21997448504789668</v>
      </c>
      <c r="AE12">
        <f t="shared" si="1"/>
        <v>0.21933788712017535</v>
      </c>
      <c r="AF12">
        <f t="shared" si="2"/>
        <v>0.21971475875261645</v>
      </c>
      <c r="AG12">
        <f t="shared" si="3"/>
        <v>0.22708928204960846</v>
      </c>
      <c r="AH12">
        <f t="shared" si="4"/>
        <v>0.22161815906515239</v>
      </c>
    </row>
    <row r="13" spans="1:34" x14ac:dyDescent="0.25">
      <c r="A13">
        <f t="shared" si="7"/>
        <v>0.89999999999999991</v>
      </c>
      <c r="B13">
        <f t="shared" si="5"/>
        <v>9.9999999999999978E-2</v>
      </c>
      <c r="E13">
        <f t="shared" si="6"/>
        <v>0.22986734079999999</v>
      </c>
      <c r="F13">
        <f t="shared" si="8"/>
        <v>0.22092899507982777</v>
      </c>
      <c r="H13">
        <f t="shared" si="9"/>
        <v>0.22539816793991388</v>
      </c>
      <c r="I13">
        <f>J12+B13*(ff(J12,A13))</f>
        <v>0.22547030969614029</v>
      </c>
      <c r="J13">
        <f>J12+B13*AVERAGE(ff(I13,A13),ff(J12,A13))</f>
        <v>0.22485706743854378</v>
      </c>
      <c r="L13">
        <f>ff(P12,A13)</f>
        <v>6.0570482494767097E-2</v>
      </c>
      <c r="M13">
        <f>ff(P12+L13/2*B13,A13)</f>
        <v>5.4513434245290371E-2</v>
      </c>
      <c r="N13">
        <f>ff(P12+M13/2*B13,A13)</f>
        <v>5.5119139070238077E-2</v>
      </c>
      <c r="O13">
        <f>ff(P12+N13*B13,A13)</f>
        <v>4.9546654680719504E-2</v>
      </c>
      <c r="P13">
        <f>P12+(1/6*L13+1/3*M13+1/3*N13+1/6*O13)*B13</f>
        <v>0.22520446348272552</v>
      </c>
      <c r="R13">
        <f>ff(U12,A13)</f>
        <v>4.5821435900783081E-2</v>
      </c>
      <c r="S13">
        <f>ff(U12+R13/2*B13,A13)</f>
        <v>4.1239292310704778E-2</v>
      </c>
      <c r="T13">
        <f>ff(U12-1*R13*B13+S13*2*B13,A13)</f>
        <v>3.8490006156657763E-2</v>
      </c>
      <c r="U13">
        <f>U12+(1/6*R13+2/3*S13+1/3*T13)*B13</f>
        <v>0.23188525900722376</v>
      </c>
      <c r="W13">
        <f>W12+B13/24*(55*ff(W12,A13)-59*ff(W11,A13)+37*ff(W10,A13)-9*ff(W9,A13))</f>
        <v>0.22687807804517707</v>
      </c>
      <c r="AA13">
        <f>A13</f>
        <v>0.89999999999999991</v>
      </c>
      <c r="AB13">
        <f>E13</f>
        <v>0.22986734079999999</v>
      </c>
      <c r="AC13">
        <f>F13</f>
        <v>0.22092899507982777</v>
      </c>
      <c r="AD13">
        <f t="shared" si="0"/>
        <v>0.22539816793991388</v>
      </c>
      <c r="AE13">
        <f t="shared" si="1"/>
        <v>0.22485706743854378</v>
      </c>
      <c r="AF13">
        <f t="shared" si="2"/>
        <v>0.22520446348272552</v>
      </c>
      <c r="AG13">
        <f t="shared" si="3"/>
        <v>0.23188525900722376</v>
      </c>
      <c r="AH13">
        <f t="shared" si="4"/>
        <v>0.22687807804517707</v>
      </c>
    </row>
    <row r="14" spans="1:34" x14ac:dyDescent="0.25">
      <c r="A14">
        <f t="shared" si="7"/>
        <v>0.99999999999999989</v>
      </c>
      <c r="B14">
        <f t="shared" si="5"/>
        <v>9.9999999999999978E-2</v>
      </c>
      <c r="E14">
        <f t="shared" si="6"/>
        <v>0.23389387264</v>
      </c>
      <c r="F14">
        <f t="shared" si="8"/>
        <v>0.22577416256652313</v>
      </c>
      <c r="H14">
        <f t="shared" si="9"/>
        <v>0.22983401760326155</v>
      </c>
      <c r="I14">
        <f>J13+B14*(ff(J13,A14))</f>
        <v>0.22988565395083502</v>
      </c>
      <c r="J14">
        <f>J13+B14*AVERAGE(ff(I14,A14),ff(J13,A14))</f>
        <v>0.2293827952996059</v>
      </c>
      <c r="L14">
        <f>ff(P13,A14)</f>
        <v>4.959107303454896E-2</v>
      </c>
      <c r="M14">
        <f>ff(P13+L14/2*B14,A14)</f>
        <v>4.463196573109407E-2</v>
      </c>
      <c r="N14">
        <f>ff(P13+M14/2*B14,A14)</f>
        <v>4.5127876461439564E-2</v>
      </c>
      <c r="O14">
        <f>ff(P13+N14*B14,A14)</f>
        <v>4.0565497742261036E-2</v>
      </c>
      <c r="P14">
        <f>P13+(1/6*L14+1/3*M14+1/3*N14+1/6*O14)*B14</f>
        <v>0.22969906773542348</v>
      </c>
      <c r="R14">
        <f>ff(U13,A14)</f>
        <v>3.6229481985552481E-2</v>
      </c>
      <c r="S14">
        <f>ff(U13+R14/2*B14,A14)</f>
        <v>3.2606533786997238E-2</v>
      </c>
      <c r="T14">
        <f>ff(U13-1*R14*B14+S14*2*B14,A14)</f>
        <v>3.0432764867864059E-2</v>
      </c>
      <c r="U14">
        <f>U13+(1/6*R14+2/3*S14+1/3*T14)*B14</f>
        <v>0.23567727812171158</v>
      </c>
      <c r="W14">
        <f>W13+B14/24*(55*ff(W13,A14)-59*ff(W12,A14)+37*ff(W11,A14)-9*ff(W10,A14))</f>
        <v>0.23097530281777925</v>
      </c>
      <c r="AA14">
        <f>A14</f>
        <v>0.99999999999999989</v>
      </c>
      <c r="AB14">
        <f>E14</f>
        <v>0.23389387264</v>
      </c>
      <c r="AC14">
        <f>F14</f>
        <v>0.22577416256652313</v>
      </c>
      <c r="AD14">
        <f t="shared" si="0"/>
        <v>0.22983401760326155</v>
      </c>
      <c r="AE14">
        <f t="shared" si="1"/>
        <v>0.2293827952996059</v>
      </c>
      <c r="AF14">
        <f t="shared" si="2"/>
        <v>0.22969906773542348</v>
      </c>
      <c r="AG14">
        <f t="shared" si="3"/>
        <v>0.23567727812171158</v>
      </c>
      <c r="AH14">
        <f t="shared" si="4"/>
        <v>0.23097530281777925</v>
      </c>
    </row>
    <row r="15" spans="1:34" x14ac:dyDescent="0.25">
      <c r="A15">
        <f t="shared" si="7"/>
        <v>1.0999999999999999</v>
      </c>
      <c r="B15">
        <f t="shared" si="5"/>
        <v>9.9999999999999978E-2</v>
      </c>
      <c r="E15">
        <f t="shared" si="6"/>
        <v>0.23711509811199999</v>
      </c>
      <c r="F15">
        <f t="shared" si="8"/>
        <v>0.22981180213876926</v>
      </c>
      <c r="H15">
        <f t="shared" si="9"/>
        <v>0.23346345012538461</v>
      </c>
      <c r="I15">
        <f>J14+B15*(ff(J14,A15))</f>
        <v>0.23350623623968472</v>
      </c>
      <c r="J15">
        <f>J14+B15*AVERAGE(ff(I15,A15),ff(J14,A15))</f>
        <v>0.23309389214567683</v>
      </c>
      <c r="L15">
        <f>ff(P14,A15)</f>
        <v>4.0601864529153042E-2</v>
      </c>
      <c r="M15">
        <f>ff(P14+L15/2*B15,A15)</f>
        <v>3.654167807623776E-2</v>
      </c>
      <c r="N15">
        <f>ff(P14+M15/2*B15,A15)</f>
        <v>3.6947696721529255E-2</v>
      </c>
      <c r="O15">
        <f>ff(P14+N15*B15,A15)</f>
        <v>3.321232518484718E-2</v>
      </c>
      <c r="P15">
        <f>P14+(1/6*L15+1/3*M15+1/3*N15+1/6*O15)*B15</f>
        <v>0.23337895005724904</v>
      </c>
      <c r="R15">
        <f>ff(U14,A15)</f>
        <v>2.8645443756576849E-2</v>
      </c>
      <c r="S15">
        <f>ff(U14+R15/2*B15,A15)</f>
        <v>2.5780899380919153E-2</v>
      </c>
      <c r="T15">
        <f>ff(U14-1*R15*B15+S15*2*B15,A15)</f>
        <v>2.406217275552458E-2</v>
      </c>
      <c r="U15">
        <f>U14+(1/6*R15+2/3*S15+1/3*T15)*B15</f>
        <v>0.23867550123489994</v>
      </c>
      <c r="W15">
        <f>W14+B15/24*(55*ff(W14,A15)-59*ff(W13,A15)+37*ff(W12,A15)-9*ff(W11,A15))</f>
        <v>0.23449265204048647</v>
      </c>
      <c r="AA15">
        <f>A15</f>
        <v>1.0999999999999999</v>
      </c>
      <c r="AB15">
        <f>E15</f>
        <v>0.23711509811199999</v>
      </c>
      <c r="AC15">
        <f>F15</f>
        <v>0.22981180213876926</v>
      </c>
      <c r="AD15">
        <f t="shared" si="0"/>
        <v>0.23346345012538461</v>
      </c>
      <c r="AE15">
        <f t="shared" si="1"/>
        <v>0.23309389214567683</v>
      </c>
      <c r="AF15">
        <f t="shared" si="2"/>
        <v>0.23337895005724904</v>
      </c>
      <c r="AG15">
        <f t="shared" si="3"/>
        <v>0.23867550123489994</v>
      </c>
      <c r="AH15">
        <f t="shared" si="4"/>
        <v>0.23449265204048647</v>
      </c>
    </row>
    <row r="16" spans="1:34" x14ac:dyDescent="0.25">
      <c r="A16">
        <f t="shared" si="7"/>
        <v>1.2</v>
      </c>
      <c r="B16">
        <f t="shared" si="5"/>
        <v>0.10000000000000009</v>
      </c>
      <c r="E16">
        <f t="shared" si="6"/>
        <v>0.2396920784896</v>
      </c>
      <c r="F16">
        <f t="shared" si="8"/>
        <v>0.23317650178230773</v>
      </c>
      <c r="H16">
        <f t="shared" si="9"/>
        <v>0.23643429013595385</v>
      </c>
      <c r="I16">
        <f>J15+B16*(ff(J15,A16))</f>
        <v>0.23647511371654148</v>
      </c>
      <c r="J16">
        <f>J15+B16*AVERAGE(ff(I16,A16),ff(J15,A16))</f>
        <v>0.236136991559455</v>
      </c>
      <c r="L16">
        <f>ff(P15,A16)</f>
        <v>3.3242099885501919E-2</v>
      </c>
      <c r="M16">
        <f>ff(P15+L16/2*B16,A16)</f>
        <v>2.991788989695171E-2</v>
      </c>
      <c r="N16">
        <f>ff(P15+M16/2*B16,A16)</f>
        <v>3.0250310895806765E-2</v>
      </c>
      <c r="O16">
        <f>ff(P15+N16*B16,A16)</f>
        <v>2.7192037706340544E-2</v>
      </c>
      <c r="P16">
        <f>P15+(1/6*L16+1/3*M16+1/3*N16+1/6*O16)*B16</f>
        <v>0.23639179237687169</v>
      </c>
      <c r="R16">
        <f>ff(U15,A16)</f>
        <v>2.264899753020011E-2</v>
      </c>
      <c r="S16">
        <f>ff(U15+R16/2*B16,A16)</f>
        <v>2.0384097777180088E-2</v>
      </c>
      <c r="T16">
        <f>ff(U15-1*R16*B16+S16*2*B16,A16)</f>
        <v>1.902515792536813E-2</v>
      </c>
      <c r="U16">
        <f>U15+(1/6*R16+2/3*S16+1/3*T16)*B16</f>
        <v>0.24104609630972756</v>
      </c>
      <c r="W16">
        <f>W15+B16/24*(55*ff(W15,A16)-59*ff(W14,A16)+37*ff(W13,A16)-9*ff(W12,A16))</f>
        <v>0.23724699827329515</v>
      </c>
      <c r="AA16">
        <f>A16</f>
        <v>1.2</v>
      </c>
      <c r="AB16">
        <f>E16</f>
        <v>0.2396920784896</v>
      </c>
      <c r="AC16">
        <f>F16</f>
        <v>0.23317650178230773</v>
      </c>
      <c r="AD16">
        <f t="shared" si="0"/>
        <v>0.23643429013595385</v>
      </c>
      <c r="AE16">
        <f t="shared" si="1"/>
        <v>0.236136991559455</v>
      </c>
      <c r="AF16">
        <f t="shared" si="2"/>
        <v>0.23639179237687169</v>
      </c>
      <c r="AG16">
        <f t="shared" si="3"/>
        <v>0.24104609630972756</v>
      </c>
      <c r="AH16">
        <f t="shared" si="4"/>
        <v>0.23724699827329515</v>
      </c>
    </row>
    <row r="17" spans="1:34" x14ac:dyDescent="0.25">
      <c r="A17">
        <f t="shared" si="7"/>
        <v>1.3</v>
      </c>
      <c r="B17">
        <f t="shared" si="5"/>
        <v>0.10000000000000009</v>
      </c>
      <c r="E17">
        <f t="shared" si="6"/>
        <v>0.24175366279168001</v>
      </c>
      <c r="F17">
        <f t="shared" si="8"/>
        <v>0.23598041815192314</v>
      </c>
      <c r="H17">
        <f t="shared" si="9"/>
        <v>0.23886704047180157</v>
      </c>
      <c r="I17">
        <f>J16+B17*(ff(J16,A17))</f>
        <v>0.238909593247564</v>
      </c>
      <c r="J17">
        <f>J16+B17*AVERAGE(ff(I17,A17),ff(J16,A17))</f>
        <v>0.23863233307875309</v>
      </c>
      <c r="L17">
        <f>ff(P16,A17)</f>
        <v>2.721641524625662E-2</v>
      </c>
      <c r="M17">
        <f>ff(P16+L17/2*B17,A17)</f>
        <v>2.4494773721630947E-2</v>
      </c>
      <c r="N17">
        <f>ff(P16+M17/2*B17,A17)</f>
        <v>2.4766937874093509E-2</v>
      </c>
      <c r="O17">
        <f>ff(P16+N17*B17,A17)</f>
        <v>2.2263027671437896E-2</v>
      </c>
      <c r="P17">
        <f>P16+(1/6*L17+1/3*M17+1/3*N17+1/6*O17)*B17</f>
        <v>0.23885850681202409</v>
      </c>
      <c r="R17">
        <f>ff(U16,A17)</f>
        <v>1.7907807380544871E-2</v>
      </c>
      <c r="S17">
        <f>ff(U16+R17/2*B17,A17)</f>
        <v>1.6117026642490373E-2</v>
      </c>
      <c r="T17">
        <f>ff(U16-1*R17*B17+S17*2*B17,A17)</f>
        <v>1.5042558199657718E-2</v>
      </c>
      <c r="U17">
        <f>U16+(1/6*R17+2/3*S17+1/3*T17)*B17</f>
        <v>0.24292044681555794</v>
      </c>
      <c r="W17">
        <f>W16+B17/24*(55*ff(W16,A17)-59*ff(W15,A17)+37*ff(W14,A17)-9*ff(W13,A17))</f>
        <v>0.23959948213584706</v>
      </c>
      <c r="AA17">
        <f>A17</f>
        <v>1.3</v>
      </c>
      <c r="AB17">
        <f>E17</f>
        <v>0.24175366279168001</v>
      </c>
      <c r="AC17">
        <f>F17</f>
        <v>0.23598041815192314</v>
      </c>
      <c r="AD17">
        <f t="shared" si="0"/>
        <v>0.23886704047180157</v>
      </c>
      <c r="AE17">
        <f t="shared" si="1"/>
        <v>0.23863233307875309</v>
      </c>
      <c r="AF17">
        <f t="shared" si="2"/>
        <v>0.23885850681202409</v>
      </c>
      <c r="AG17">
        <f t="shared" si="3"/>
        <v>0.24292044681555794</v>
      </c>
      <c r="AH17">
        <f t="shared" si="4"/>
        <v>0.23959948213584706</v>
      </c>
    </row>
    <row r="18" spans="1:34" x14ac:dyDescent="0.25">
      <c r="A18">
        <f t="shared" si="7"/>
        <v>1.4000000000000001</v>
      </c>
      <c r="B18">
        <f t="shared" si="5"/>
        <v>0.10000000000000009</v>
      </c>
      <c r="E18">
        <f t="shared" si="6"/>
        <v>0.243402930233344</v>
      </c>
      <c r="F18">
        <f t="shared" si="8"/>
        <v>0.23831701512660264</v>
      </c>
      <c r="H18">
        <f t="shared" si="9"/>
        <v>0.24085997267997333</v>
      </c>
      <c r="I18">
        <f>J17+B18*(ff(J17,A18))</f>
        <v>0.24090586646300247</v>
      </c>
      <c r="J18">
        <f>J17+B18*AVERAGE(ff(I18,A18),ff(J17,A18))</f>
        <v>0.24067851312457753</v>
      </c>
      <c r="L18">
        <f>ff(P17,A18)</f>
        <v>2.228298637595183E-2</v>
      </c>
      <c r="M18">
        <f>ff(P17+L18/2*B18,A18)</f>
        <v>2.0054687738356669E-2</v>
      </c>
      <c r="N18">
        <f>ff(P17+M18/2*B18,A18)</f>
        <v>2.0277517602116157E-2</v>
      </c>
      <c r="O18">
        <f>ff(P17+N18*B18,A18)</f>
        <v>1.8227482855528609E-2</v>
      </c>
      <c r="P18">
        <f>P17+(1/6*L18+1/3*M18+1/3*N18+1/6*O18)*B18</f>
        <v>0.24087808814389786</v>
      </c>
      <c r="R18">
        <f>ff(U17,A18)</f>
        <v>1.4159106368884122E-2</v>
      </c>
      <c r="S18">
        <f>ff(U17+R18/2*B18,A18)</f>
        <v>1.2743195731995727E-2</v>
      </c>
      <c r="T18">
        <f>ff(U17-1*R18*B18+S18*2*B18,A18)</f>
        <v>1.1893649349862701E-2</v>
      </c>
      <c r="U18">
        <f>U17+(1/6*R18+2/3*S18+1/3*T18)*B18</f>
        <v>0.24440243328216782</v>
      </c>
      <c r="W18">
        <f>W17+B18/24*(55*ff(W17,A18)-59*ff(W16,A18)+37*ff(W15,A18)-9*ff(W14,A18))</f>
        <v>0.24145074030680405</v>
      </c>
      <c r="AA18">
        <f>A18</f>
        <v>1.4000000000000001</v>
      </c>
      <c r="AB18">
        <f>E18</f>
        <v>0.243402930233344</v>
      </c>
      <c r="AC18">
        <f>F18</f>
        <v>0.23831701512660264</v>
      </c>
      <c r="AD18">
        <f t="shared" si="0"/>
        <v>0.24085997267997333</v>
      </c>
      <c r="AE18">
        <f t="shared" si="1"/>
        <v>0.24067851312457753</v>
      </c>
      <c r="AF18">
        <f t="shared" si="2"/>
        <v>0.24087808814389786</v>
      </c>
      <c r="AG18">
        <f t="shared" si="3"/>
        <v>0.24440243328216782</v>
      </c>
      <c r="AH18">
        <f t="shared" si="4"/>
        <v>0.24145074030680405</v>
      </c>
    </row>
    <row r="19" spans="1:34" x14ac:dyDescent="0.25">
      <c r="A19">
        <f t="shared" si="7"/>
        <v>1.5000000000000002</v>
      </c>
      <c r="B19">
        <f t="shared" si="5"/>
        <v>0.10000000000000009</v>
      </c>
      <c r="E19">
        <f t="shared" si="6"/>
        <v>0.24472234418667521</v>
      </c>
      <c r="F19">
        <f t="shared" si="8"/>
        <v>0.24026417927216887</v>
      </c>
      <c r="H19">
        <f t="shared" si="9"/>
        <v>0.24249326172942204</v>
      </c>
      <c r="I19">
        <f>J18+B19*(ff(J18,A19))</f>
        <v>0.24254281049966203</v>
      </c>
      <c r="J19">
        <f>J18+B19*AVERAGE(ff(I19,A19),ff(J18,A19))</f>
        <v>0.24235638076215357</v>
      </c>
      <c r="L19">
        <f>ff(P18,A19)</f>
        <v>1.8243823712204288E-2</v>
      </c>
      <c r="M19">
        <f>ff(P18+L19/2*B19,A19)</f>
        <v>1.6419441340983831E-2</v>
      </c>
      <c r="N19">
        <f>ff(P18+M19/2*B19,A19)</f>
        <v>1.6601879578105883E-2</v>
      </c>
      <c r="O19">
        <f>ff(P18+N19*B19,A19)</f>
        <v>1.4923447796583111E-2</v>
      </c>
      <c r="P19">
        <f>P18+(1/6*L19+1/3*M19+1/3*N19+1/6*O19)*B19</f>
        <v>0.24253158669968064</v>
      </c>
      <c r="R19">
        <f>ff(U18,A19)</f>
        <v>1.1195133435664362E-2</v>
      </c>
      <c r="S19">
        <f>ff(U18+R19/2*B19,A19)</f>
        <v>1.0075620092097948E-2</v>
      </c>
      <c r="T19">
        <f>ff(U18-1*R19*B19+S19*2*B19,A19)</f>
        <v>9.4039120859580883E-3</v>
      </c>
      <c r="U19">
        <f>U18+(1/6*R19+2/3*S19+1/3*T19)*B19</f>
        <v>0.24557419058176735</v>
      </c>
      <c r="W19">
        <f>W18+B19/24*(55*ff(W18,A19)-59*ff(W17,A19)+37*ff(W16,A19)-9*ff(W15,A19))</f>
        <v>0.24302468748508083</v>
      </c>
      <c r="AA19">
        <f>A19</f>
        <v>1.5000000000000002</v>
      </c>
      <c r="AB19">
        <f>E19</f>
        <v>0.24472234418667521</v>
      </c>
      <c r="AC19">
        <f>F19</f>
        <v>0.24026417927216887</v>
      </c>
      <c r="AD19">
        <f t="shared" si="0"/>
        <v>0.24249326172942204</v>
      </c>
      <c r="AE19">
        <f t="shared" si="1"/>
        <v>0.24235638076215357</v>
      </c>
      <c r="AF19">
        <f t="shared" si="2"/>
        <v>0.24253158669968064</v>
      </c>
      <c r="AG19">
        <f t="shared" si="3"/>
        <v>0.24557419058176735</v>
      </c>
      <c r="AH19">
        <f t="shared" si="4"/>
        <v>0.24302468748508083</v>
      </c>
    </row>
    <row r="20" spans="1:34" x14ac:dyDescent="0.25">
      <c r="A20">
        <f t="shared" si="7"/>
        <v>1.6000000000000003</v>
      </c>
      <c r="B20">
        <f t="shared" si="5"/>
        <v>0.10000000000000009</v>
      </c>
      <c r="E20">
        <f t="shared" si="6"/>
        <v>0.24577787534934017</v>
      </c>
      <c r="F20">
        <f t="shared" si="8"/>
        <v>0.24188681606014073</v>
      </c>
      <c r="H20">
        <f t="shared" si="9"/>
        <v>0.24383234570474044</v>
      </c>
      <c r="I20">
        <f>J19+B20*(ff(J19,A20))</f>
        <v>0.24388510460972285</v>
      </c>
      <c r="J20">
        <f>J19+B20*AVERAGE(ff(I20,A20),ff(J19,A20))</f>
        <v>0.24373223222496593</v>
      </c>
      <c r="L20">
        <f>ff(P19,A20)</f>
        <v>1.493682660063872E-2</v>
      </c>
      <c r="M20">
        <f>ff(P19+L20/2*B20,A20)</f>
        <v>1.3443143940574831E-2</v>
      </c>
      <c r="N20">
        <f>ff(P19+M20/2*B20,A20)</f>
        <v>1.3592512206581253E-2</v>
      </c>
      <c r="O20">
        <f>ff(P19+N20*B20,A20)</f>
        <v>1.2218324159322447E-2</v>
      </c>
      <c r="P20">
        <f>P19+(1/6*L20+1/3*M20+1/3*N20+1/6*O20)*B20</f>
        <v>0.24388536108391853</v>
      </c>
      <c r="R20">
        <f>ff(U19,A20)</f>
        <v>8.8516188364652915E-3</v>
      </c>
      <c r="S20">
        <f>ff(U19+R20/2*B20,A20)</f>
        <v>7.966456952818779E-3</v>
      </c>
      <c r="T20">
        <f>ff(U19-1*R20*B20+S20*2*B20,A20)</f>
        <v>7.4353598226308826E-3</v>
      </c>
      <c r="U20">
        <f>U19+(1/6*R20+2/3*S20+1/3*T20)*B20</f>
        <v>0.24650066001998405</v>
      </c>
      <c r="W20">
        <f>W19+B20/24*(55*ff(W19,A20)-59*ff(W18,A20)+37*ff(W17,A20)-9*ff(W16,A20))</f>
        <v>0.24426867091720841</v>
      </c>
      <c r="AA20">
        <f>A20</f>
        <v>1.6000000000000003</v>
      </c>
      <c r="AB20">
        <f>E20</f>
        <v>0.24577787534934017</v>
      </c>
      <c r="AC20">
        <f>F20</f>
        <v>0.24188681606014073</v>
      </c>
      <c r="AD20">
        <f t="shared" si="0"/>
        <v>0.24383234570474044</v>
      </c>
      <c r="AE20">
        <f t="shared" si="1"/>
        <v>0.24373223222496593</v>
      </c>
      <c r="AF20">
        <f t="shared" si="2"/>
        <v>0.24388536108391853</v>
      </c>
      <c r="AG20">
        <f t="shared" si="3"/>
        <v>0.24650066001998405</v>
      </c>
      <c r="AH20">
        <f t="shared" si="4"/>
        <v>0.24426867091720841</v>
      </c>
    </row>
    <row r="21" spans="1:34" x14ac:dyDescent="0.25">
      <c r="A21">
        <f t="shared" si="7"/>
        <v>1.7000000000000004</v>
      </c>
      <c r="B21">
        <f t="shared" si="5"/>
        <v>0.10000000000000009</v>
      </c>
      <c r="E21">
        <f t="shared" si="6"/>
        <v>0.24662230027947213</v>
      </c>
      <c r="F21">
        <f t="shared" si="8"/>
        <v>0.24323901338345061</v>
      </c>
      <c r="H21">
        <f t="shared" si="9"/>
        <v>0.24493065683146137</v>
      </c>
      <c r="I21">
        <f>J20+B21*(ff(J20,A21))</f>
        <v>0.24498578577997274</v>
      </c>
      <c r="J21">
        <f>J20+B21*AVERAGE(ff(I21,A21),ff(J20,A21))</f>
        <v>0.24486043042447206</v>
      </c>
      <c r="L21">
        <f>ff(P20,A21)</f>
        <v>1.2229277832162933E-2</v>
      </c>
      <c r="M21">
        <f>ff(P20+L21/2*B21,A21)</f>
        <v>1.1006350048946623E-2</v>
      </c>
      <c r="N21">
        <f>ff(P20+M21/2*B21,A21)</f>
        <v>1.1128642827268276E-2</v>
      </c>
      <c r="O21">
        <f>ff(P20+N21*B21,A21)</f>
        <v>1.0003549266709266E-2</v>
      </c>
      <c r="P21">
        <f>P20+(1/6*L21+1/3*M21+1/3*N21+1/6*O21)*B21</f>
        <v>0.24499374129810692</v>
      </c>
      <c r="R21">
        <f>ff(U20,A21)</f>
        <v>6.998679960031895E-3</v>
      </c>
      <c r="S21">
        <f>ff(U20+R21/2*B21,A21)</f>
        <v>6.2988119640287055E-3</v>
      </c>
      <c r="T21">
        <f>ff(U20-1*R21*B21+S21*2*B21,A21)</f>
        <v>5.878891166426814E-3</v>
      </c>
      <c r="U21">
        <f>U20+(1/6*R21+2/3*S21+1/3*T21)*B21</f>
        <v>0.2472331885224674</v>
      </c>
      <c r="W21">
        <f>W20+B21/24*(55*ff(W20,A21)-59*ff(W19,A21)+37*ff(W18,A21)-9*ff(W17,A21))</f>
        <v>0.2453219843259099</v>
      </c>
      <c r="AA21">
        <f>A21</f>
        <v>1.7000000000000004</v>
      </c>
      <c r="AB21">
        <f>E21</f>
        <v>0.24662230027947213</v>
      </c>
      <c r="AC21">
        <f>F21</f>
        <v>0.24323901338345061</v>
      </c>
      <c r="AD21">
        <f t="shared" si="0"/>
        <v>0.24493065683146137</v>
      </c>
      <c r="AE21">
        <f t="shared" si="1"/>
        <v>0.24486043042447206</v>
      </c>
      <c r="AF21">
        <f t="shared" si="2"/>
        <v>0.24499374129810692</v>
      </c>
      <c r="AG21">
        <f t="shared" si="3"/>
        <v>0.2472331885224674</v>
      </c>
      <c r="AH21">
        <f t="shared" si="4"/>
        <v>0.2453219843259099</v>
      </c>
    </row>
    <row r="22" spans="1:34" x14ac:dyDescent="0.25">
      <c r="A22">
        <f t="shared" si="7"/>
        <v>1.8000000000000005</v>
      </c>
      <c r="B22">
        <f t="shared" si="5"/>
        <v>0.10000000000000009</v>
      </c>
      <c r="E22">
        <f t="shared" si="6"/>
        <v>0.2472978402235777</v>
      </c>
      <c r="F22">
        <f t="shared" si="8"/>
        <v>0.24436584448620885</v>
      </c>
      <c r="H22">
        <f t="shared" si="9"/>
        <v>0.24583184235489328</v>
      </c>
      <c r="I22">
        <f>J21+B22*(ff(J21,A22))</f>
        <v>0.24588834433957765</v>
      </c>
      <c r="J22">
        <f>J21+B22*AVERAGE(ff(I22,A22),ff(J21,A22))</f>
        <v>0.24578555294806709</v>
      </c>
      <c r="L22">
        <f>ff(P21,A22)</f>
        <v>1.001251740378617E-2</v>
      </c>
      <c r="M22">
        <f>ff(P21+L22/2*B22,A22)</f>
        <v>9.0112656634075416E-3</v>
      </c>
      <c r="N22">
        <f>ff(P21+M22/2*B22,A22)</f>
        <v>9.1113908374453878E-3</v>
      </c>
      <c r="O22">
        <f>ff(P21+N22*B22,A22)</f>
        <v>8.1902392362970811E-3</v>
      </c>
      <c r="P22">
        <f>P21+(1/6*L22+1/3*M22+1/3*N22+1/6*O22)*B22</f>
        <v>0.24590120912547006</v>
      </c>
      <c r="R22">
        <f>ff(U21,A22)</f>
        <v>5.5336229550652094E-3</v>
      </c>
      <c r="S22">
        <f>ff(U21+R22/2*B22,A22)</f>
        <v>4.9802606595586996E-3</v>
      </c>
      <c r="T22">
        <f>ff(U21-1*R22*B22+S22*2*B22,A22)</f>
        <v>4.6482432822547715E-3</v>
      </c>
      <c r="U22">
        <f>U21+(1/6*R22+2/3*S22+1/3*T22)*B22</f>
        <v>0.24781237439176423</v>
      </c>
      <c r="W22">
        <f>W21+B22/24*(55*ff(W21,A22)-59*ff(W20,A22)+37*ff(W19,A22)-9*ff(W18,A22))</f>
        <v>0.24615769825927239</v>
      </c>
      <c r="AA22">
        <f>A22</f>
        <v>1.8000000000000005</v>
      </c>
      <c r="AB22">
        <f>E22</f>
        <v>0.2472978402235777</v>
      </c>
      <c r="AC22">
        <f>F22</f>
        <v>0.24436584448620885</v>
      </c>
      <c r="AD22">
        <f t="shared" si="0"/>
        <v>0.24583184235489328</v>
      </c>
      <c r="AE22">
        <f t="shared" si="1"/>
        <v>0.24578555294806709</v>
      </c>
      <c r="AF22">
        <f t="shared" si="2"/>
        <v>0.24590120912547006</v>
      </c>
      <c r="AG22">
        <f t="shared" si="3"/>
        <v>0.24781237439176423</v>
      </c>
      <c r="AH22">
        <f t="shared" si="4"/>
        <v>0.24615769825927239</v>
      </c>
    </row>
    <row r="23" spans="1:34" x14ac:dyDescent="0.25">
      <c r="A23">
        <f t="shared" si="7"/>
        <v>1.9000000000000006</v>
      </c>
      <c r="B23">
        <f t="shared" si="5"/>
        <v>0.10000000000000009</v>
      </c>
      <c r="E23">
        <f t="shared" si="6"/>
        <v>0.24783827217886217</v>
      </c>
      <c r="F23">
        <f t="shared" si="8"/>
        <v>0.24530487040517404</v>
      </c>
      <c r="H23">
        <f t="shared" si="9"/>
        <v>0.24657157129201812</v>
      </c>
      <c r="I23">
        <f>J22+B23*(ff(J22,A23))</f>
        <v>0.24662844235845366</v>
      </c>
      <c r="J23">
        <f>J22+B23*AVERAGE(ff(I23,A23),ff(J22,A23))</f>
        <v>0.24654415341741501</v>
      </c>
      <c r="L23">
        <f>ff(P22,A23)</f>
        <v>8.197581749059879E-3</v>
      </c>
      <c r="M23">
        <f>ff(P22+L23/2*B23,A23)</f>
        <v>7.3778235741538967E-3</v>
      </c>
      <c r="N23">
        <f>ff(P22+M23/2*B23,A23)</f>
        <v>7.4597993916444838E-3</v>
      </c>
      <c r="O23">
        <f>ff(P22+N23*B23,A23)</f>
        <v>6.7056218707309823E-3</v>
      </c>
      <c r="P23">
        <f>P22+(1/6*L23+1/3*M23+1/3*N23+1/6*O23)*B23</f>
        <v>0.24664418328465987</v>
      </c>
      <c r="R23">
        <f>ff(U22,A23)</f>
        <v>4.3752512164715318E-3</v>
      </c>
      <c r="S23">
        <f>ff(U22+R23/2*B23,A23)</f>
        <v>3.9377260948244008E-3</v>
      </c>
      <c r="T23">
        <f>ff(U22-1*R23*B23+S23*2*B23,A23)</f>
        <v>3.6752110218361E-3</v>
      </c>
      <c r="U23">
        <f>U22+(1/6*R23+2/3*S23+1/3*T23)*B23</f>
        <v>0.24827031735242158</v>
      </c>
      <c r="W23">
        <f>W22+B23/24*(55*ff(W22,A23)-59*ff(W21,A23)+37*ff(W20,A23)-9*ff(W19,A23))</f>
        <v>0.24686274021258672</v>
      </c>
      <c r="AA23">
        <f>A23</f>
        <v>1.9000000000000006</v>
      </c>
      <c r="AB23">
        <f>E23</f>
        <v>0.24783827217886217</v>
      </c>
      <c r="AC23">
        <f>F23</f>
        <v>0.24530487040517404</v>
      </c>
      <c r="AD23">
        <f t="shared" si="0"/>
        <v>0.24657157129201812</v>
      </c>
      <c r="AE23">
        <f t="shared" si="1"/>
        <v>0.24654415341741501</v>
      </c>
      <c r="AF23">
        <f t="shared" si="2"/>
        <v>0.24664418328465987</v>
      </c>
      <c r="AG23">
        <f t="shared" si="3"/>
        <v>0.24827031735242158</v>
      </c>
      <c r="AH23">
        <f t="shared" si="4"/>
        <v>0.24686274021258672</v>
      </c>
    </row>
    <row r="24" spans="1:34" x14ac:dyDescent="0.25">
      <c r="A24">
        <f t="shared" si="7"/>
        <v>2.0000000000000004</v>
      </c>
      <c r="B24">
        <f t="shared" si="5"/>
        <v>9.9999999999999867E-2</v>
      </c>
      <c r="E24">
        <f t="shared" si="6"/>
        <v>0.24827061774308973</v>
      </c>
      <c r="F24">
        <f t="shared" si="8"/>
        <v>0.24608739200431168</v>
      </c>
      <c r="H24">
        <f t="shared" si="9"/>
        <v>0.2471790048737007</v>
      </c>
      <c r="I24">
        <f>J23+B24*(ff(J23,A24))</f>
        <v>0.24723532273393201</v>
      </c>
      <c r="J24">
        <f>J23+B24*AVERAGE(ff(I24,A24),ff(J23,A24))</f>
        <v>0.2471662058022803</v>
      </c>
      <c r="L24">
        <f>ff(P23,A24)</f>
        <v>6.7116334306802639E-3</v>
      </c>
      <c r="M24">
        <f>ff(P23+L24/2*B24,A24)</f>
        <v>6.0404700876122153E-3</v>
      </c>
      <c r="N24">
        <f>ff(P23+M24/2*B24,A24)</f>
        <v>6.1075864219190534E-3</v>
      </c>
      <c r="O24">
        <f>ff(P23+N24*B24,A24)</f>
        <v>5.4901161462964643E-3</v>
      </c>
      <c r="P24">
        <f>P23+(1/6*L24+1/3*M24+1/3*N24+1/6*O24)*B24</f>
        <v>0.24725248099459385</v>
      </c>
      <c r="R24">
        <f>ff(U23,A24)</f>
        <v>3.4593652951568354E-3</v>
      </c>
      <c r="S24">
        <f>ff(U23+R24/2*B24,A24)</f>
        <v>3.1134287656411352E-3</v>
      </c>
      <c r="T24">
        <f>ff(U23-1*R24*B24+S24*2*B24,A24)</f>
        <v>2.905866847931704E-3</v>
      </c>
      <c r="U24">
        <f>U23+(1/6*R24+2/3*S24+1/3*T24)*B24</f>
        <v>0.24863239758664799</v>
      </c>
      <c r="W24">
        <f>W23+B24/24*(55*ff(W23,A24)-59*ff(W22,A24)+37*ff(W21,A24)-9*ff(W20,A24))</f>
        <v>0.24742405774426182</v>
      </c>
      <c r="AA24">
        <f>A24</f>
        <v>2.0000000000000004</v>
      </c>
      <c r="AB24">
        <f>E24</f>
        <v>0.24827061774308973</v>
      </c>
      <c r="AC24">
        <f>F24</f>
        <v>0.24608739200431168</v>
      </c>
      <c r="AD24">
        <f t="shared" si="0"/>
        <v>0.2471790048737007</v>
      </c>
      <c r="AE24">
        <f t="shared" si="1"/>
        <v>0.2471662058022803</v>
      </c>
      <c r="AF24">
        <f t="shared" si="2"/>
        <v>0.24725248099459385</v>
      </c>
      <c r="AG24">
        <f t="shared" si="3"/>
        <v>0.24863239758664799</v>
      </c>
      <c r="AH24">
        <f t="shared" si="4"/>
        <v>0.24742405774426182</v>
      </c>
    </row>
    <row r="25" spans="1:34" x14ac:dyDescent="0.25">
      <c r="A25">
        <f t="shared" si="7"/>
        <v>2.1000000000000005</v>
      </c>
      <c r="B25">
        <f t="shared" si="5"/>
        <v>0.10000000000000009</v>
      </c>
      <c r="E25">
        <f t="shared" si="6"/>
        <v>0.24861649419447179</v>
      </c>
      <c r="F25">
        <f t="shared" si="8"/>
        <v>0.24673949333692641</v>
      </c>
      <c r="H25">
        <f t="shared" si="9"/>
        <v>0.2476779937656991</v>
      </c>
      <c r="I25">
        <f>J24+B25*(ff(J24,A25))</f>
        <v>0.24773296464182423</v>
      </c>
      <c r="J25">
        <f>J24+B25*AVERAGE(ff(I25,A25),ff(J24,A25))</f>
        <v>0.24767628875786984</v>
      </c>
      <c r="L25">
        <f>ff(P24,A25)</f>
        <v>5.4950380108123031E-3</v>
      </c>
      <c r="M25">
        <f>ff(P24+L25/2*B25,A25)</f>
        <v>4.945534209731095E-3</v>
      </c>
      <c r="N25">
        <f>ff(P24+M25/2*B25,A25)</f>
        <v>5.0004845898392047E-3</v>
      </c>
      <c r="O25">
        <f>ff(P24+N25*B25,A25)</f>
        <v>4.4949410928444844E-3</v>
      </c>
      <c r="P25">
        <f>P24+(1/6*L25+1/3*M25+1/3*N25+1/6*O25)*B25</f>
        <v>0.24775051460630715</v>
      </c>
      <c r="R25">
        <f>ff(U24,A25)</f>
        <v>2.7352048267040296E-3</v>
      </c>
      <c r="S25">
        <f>ff(U24+R25/2*B25,A25)</f>
        <v>2.4616843440335989E-3</v>
      </c>
      <c r="T25">
        <f>ff(U24-1*R25*B25+S25*2*B25,A25)</f>
        <v>2.2975720544313738E-3</v>
      </c>
      <c r="U25">
        <f>U24+(1/6*R25+2/3*S25+1/3*T25)*B25</f>
        <v>0.24891868235850967</v>
      </c>
      <c r="W25">
        <f>W24+B25/24*(55*ff(W24,A25)-59*ff(W23,A25)+37*ff(W22,A25)-9*ff(W21,A25))</f>
        <v>0.24789607041049788</v>
      </c>
      <c r="AA25">
        <f>A25</f>
        <v>2.1000000000000005</v>
      </c>
      <c r="AB25">
        <f>E25</f>
        <v>0.24861649419447179</v>
      </c>
      <c r="AC25">
        <f>F25</f>
        <v>0.24673949333692641</v>
      </c>
      <c r="AD25">
        <f t="shared" si="0"/>
        <v>0.2476779937656991</v>
      </c>
      <c r="AE25">
        <f t="shared" si="1"/>
        <v>0.24767628875786984</v>
      </c>
      <c r="AF25">
        <f t="shared" si="2"/>
        <v>0.24775051460630715</v>
      </c>
      <c r="AG25">
        <f t="shared" si="3"/>
        <v>0.24891868235850967</v>
      </c>
      <c r="AH25">
        <f t="shared" si="4"/>
        <v>0.24789607041049788</v>
      </c>
    </row>
    <row r="26" spans="1:34" x14ac:dyDescent="0.25">
      <c r="A26">
        <f t="shared" si="7"/>
        <v>2.2000000000000006</v>
      </c>
      <c r="B26">
        <f t="shared" si="5"/>
        <v>0.10000000000000009</v>
      </c>
      <c r="E26">
        <f t="shared" si="6"/>
        <v>0.24889319535557744</v>
      </c>
      <c r="F26">
        <f t="shared" si="8"/>
        <v>0.24728291111410533</v>
      </c>
      <c r="H26">
        <f t="shared" si="9"/>
        <v>0.2480880532348414</v>
      </c>
      <c r="I26">
        <f>J25+B26*(ff(J25,A26))</f>
        <v>0.24814103100629586</v>
      </c>
      <c r="J26">
        <f>J25+B26*AVERAGE(ff(I26,A26),ff(J25,A26))</f>
        <v>0.24809455678145328</v>
      </c>
      <c r="L26">
        <f>ff(P25,A26)</f>
        <v>4.4989707873857032E-3</v>
      </c>
      <c r="M26">
        <f>ff(P25+L26/2*B26,A26)</f>
        <v>4.0490737086471551E-3</v>
      </c>
      <c r="N26">
        <f>ff(P25+M26/2*B26,A26)</f>
        <v>4.0940634165209655E-3</v>
      </c>
      <c r="O26">
        <f>ff(P25+N26*B26,A26)</f>
        <v>3.6801581040815101E-3</v>
      </c>
      <c r="P26">
        <f>P25+(1/6*L26+1/3*M26+1/3*N26+1/6*O26)*B26</f>
        <v>0.24815827132533722</v>
      </c>
      <c r="R26">
        <f>ff(U25,A26)</f>
        <v>2.1626352829806628E-3</v>
      </c>
      <c r="S26">
        <f>ff(U25+R26/2*B26,A26)</f>
        <v>1.9463717546825965E-3</v>
      </c>
      <c r="T26">
        <f>ff(U25-1*R26*B26+S26*2*B26,A26)</f>
        <v>1.8166136377037456E-3</v>
      </c>
      <c r="U26">
        <f>U25+(1/6*R26+2/3*S26+1/3*T26)*B26</f>
        <v>0.24914503818479497</v>
      </c>
      <c r="W26">
        <f>W25+B26/24*(55*ff(W25,A26)-59*ff(W24,A26)+37*ff(W23,A26)-9*ff(W22,A26))</f>
        <v>0.2482730156671796</v>
      </c>
      <c r="AA26">
        <f>A26</f>
        <v>2.2000000000000006</v>
      </c>
      <c r="AB26">
        <f>E26</f>
        <v>0.24889319535557744</v>
      </c>
      <c r="AC26">
        <f>F26</f>
        <v>0.24728291111410533</v>
      </c>
      <c r="AD26">
        <f t="shared" si="0"/>
        <v>0.2480880532348414</v>
      </c>
      <c r="AE26">
        <f t="shared" si="1"/>
        <v>0.24809455678145328</v>
      </c>
      <c r="AF26">
        <f t="shared" si="2"/>
        <v>0.24815827132533722</v>
      </c>
      <c r="AG26">
        <f t="shared" si="3"/>
        <v>0.24914503818479497</v>
      </c>
      <c r="AH26">
        <f t="shared" si="4"/>
        <v>0.2482730156671796</v>
      </c>
    </row>
    <row r="27" spans="1:34" x14ac:dyDescent="0.25">
      <c r="A27">
        <f t="shared" si="7"/>
        <v>2.3000000000000007</v>
      </c>
      <c r="B27">
        <f t="shared" si="5"/>
        <v>0.10000000000000009</v>
      </c>
      <c r="E27">
        <f t="shared" si="6"/>
        <v>0.24911455628446194</v>
      </c>
      <c r="F27">
        <f t="shared" si="8"/>
        <v>0.24773575926175445</v>
      </c>
      <c r="H27">
        <f t="shared" si="9"/>
        <v>0.2484251577731082</v>
      </c>
      <c r="I27">
        <f>J26+B27*(ff(J26,A27))</f>
        <v>0.24847564542516262</v>
      </c>
      <c r="J27">
        <f>J26+B27*AVERAGE(ff(I27,A27),ff(J26,A27))</f>
        <v>0.24843753656079171</v>
      </c>
      <c r="L27">
        <f>ff(P26,A27)</f>
        <v>3.6834573493255696E-3</v>
      </c>
      <c r="M27">
        <f>ff(P26+L27/2*B27,A27)</f>
        <v>3.3151116143930182E-3</v>
      </c>
      <c r="N27">
        <f>ff(P26+M27/2*B27,A27)</f>
        <v>3.3519461878862566E-3</v>
      </c>
      <c r="O27">
        <f>ff(P26+N27*B27,A27)</f>
        <v>3.0130681117483404E-3</v>
      </c>
      <c r="P27">
        <f>P26+(1/6*L27+1/3*M27+1/3*N27+1/6*O27)*B27</f>
        <v>0.24849211534309776</v>
      </c>
      <c r="R27">
        <f>ff(U26,A27)</f>
        <v>1.7099236304100596E-3</v>
      </c>
      <c r="S27">
        <f>ff(U26+R27/2*B27,A27)</f>
        <v>1.538931267369037E-3</v>
      </c>
      <c r="T27">
        <f>ff(U26-1*R27*B27+S27*2*B27,A27)</f>
        <v>1.4363358495444456E-3</v>
      </c>
      <c r="U27">
        <f>U26+(1/6*R27+2/3*S27+1/3*T27)*B27</f>
        <v>0.24932401019144457</v>
      </c>
      <c r="W27">
        <f>W26+B27/24*(55*ff(W26,A27)-59*ff(W25,A27)+37*ff(W24,A27)-9*ff(W23,A27))</f>
        <v>0.24858907248301368</v>
      </c>
      <c r="AA27">
        <f>A27</f>
        <v>2.3000000000000007</v>
      </c>
      <c r="AB27">
        <f>E27</f>
        <v>0.24911455628446194</v>
      </c>
      <c r="AC27">
        <f>F27</f>
        <v>0.24773575926175445</v>
      </c>
      <c r="AD27">
        <f t="shared" si="0"/>
        <v>0.2484251577731082</v>
      </c>
      <c r="AE27">
        <f t="shared" si="1"/>
        <v>0.24843753656079171</v>
      </c>
      <c r="AF27">
        <f t="shared" si="2"/>
        <v>0.24849211534309776</v>
      </c>
      <c r="AG27">
        <f t="shared" si="3"/>
        <v>0.24932401019144457</v>
      </c>
      <c r="AH27">
        <f t="shared" si="4"/>
        <v>0.24858907248301368</v>
      </c>
    </row>
    <row r="28" spans="1:34" x14ac:dyDescent="0.25">
      <c r="A28">
        <f t="shared" si="7"/>
        <v>2.4000000000000008</v>
      </c>
      <c r="B28">
        <f t="shared" si="5"/>
        <v>0.10000000000000009</v>
      </c>
      <c r="E28">
        <f t="shared" si="6"/>
        <v>0.24929164502756956</v>
      </c>
      <c r="F28">
        <f t="shared" si="8"/>
        <v>0.24811313271812871</v>
      </c>
      <c r="H28">
        <f t="shared" si="9"/>
        <v>0.24870238887284912</v>
      </c>
      <c r="I28">
        <f>J27+B28*(ff(J27,A28))</f>
        <v>0.24875002924863338</v>
      </c>
      <c r="J28">
        <f>J27+B28*AVERAGE(ff(I28,A28),ff(J27,A28))</f>
        <v>0.2487187799798492</v>
      </c>
      <c r="L28">
        <f>ff(P27,A28)</f>
        <v>3.0157693138044839E-3</v>
      </c>
      <c r="M28">
        <f>ff(P27+L28/2*B28,A28)</f>
        <v>2.714192382424041E-3</v>
      </c>
      <c r="N28">
        <f>ff(P27+M28/2*B28,A28)</f>
        <v>2.7443500755620631E-3</v>
      </c>
      <c r="O28">
        <f>ff(P27+N28*B28,A28)</f>
        <v>2.4668992986920935E-3</v>
      </c>
      <c r="P28">
        <f>P27+(1/6*L28+1/3*M28+1/3*N28+1/6*O28)*B28</f>
        <v>0.24876544456857225</v>
      </c>
      <c r="R28">
        <f>ff(U27,A28)</f>
        <v>1.3519796171108656E-3</v>
      </c>
      <c r="S28">
        <f>ff(U27+R28/2*B28,A28)</f>
        <v>1.2167816553997901E-3</v>
      </c>
      <c r="T28">
        <f>ff(U27-1*R28*B28+S28*2*B28,A28)</f>
        <v>1.1356628783730782E-3</v>
      </c>
      <c r="U28">
        <f>U27+(1/6*R28+2/3*S28+1/3*T28)*B28</f>
        <v>0.24946551739136882</v>
      </c>
      <c r="W28">
        <f>W27+B28/24*(55*ff(W27,A28)-59*ff(W26,A28)+37*ff(W25,A28)-9*ff(W24,A28))</f>
        <v>0.24884216291891184</v>
      </c>
      <c r="AA28">
        <f>A28</f>
        <v>2.4000000000000008</v>
      </c>
      <c r="AB28">
        <f>E28</f>
        <v>0.24929164502756956</v>
      </c>
      <c r="AC28">
        <f>F28</f>
        <v>0.24811313271812871</v>
      </c>
      <c r="AD28">
        <f t="shared" si="0"/>
        <v>0.24870238887284912</v>
      </c>
      <c r="AE28">
        <f t="shared" si="1"/>
        <v>0.2487187799798492</v>
      </c>
      <c r="AF28">
        <f t="shared" si="2"/>
        <v>0.24876544456857225</v>
      </c>
      <c r="AG28">
        <f t="shared" si="3"/>
        <v>0.24946551739136882</v>
      </c>
      <c r="AH28">
        <f t="shared" si="4"/>
        <v>0.24884216291891184</v>
      </c>
    </row>
    <row r="29" spans="1:34" x14ac:dyDescent="0.25">
      <c r="A29">
        <f t="shared" si="7"/>
        <v>2.5000000000000009</v>
      </c>
      <c r="B29">
        <f t="shared" si="5"/>
        <v>0.10000000000000009</v>
      </c>
      <c r="E29">
        <f t="shared" si="6"/>
        <v>0.24943331602205565</v>
      </c>
      <c r="F29">
        <f t="shared" si="8"/>
        <v>0.24842761059844062</v>
      </c>
      <c r="H29">
        <f t="shared" si="9"/>
        <v>0.24893046331024815</v>
      </c>
      <c r="I29">
        <f>J28+B29*(ff(J28,A29))</f>
        <v>0.24897502398387936</v>
      </c>
      <c r="J29">
        <f>J28+B29*AVERAGE(ff(I29,A29),ff(J28,A29))</f>
        <v>0.24894939958347634</v>
      </c>
      <c r="L29">
        <f>ff(P28,A29)</f>
        <v>2.4691108628555059E-3</v>
      </c>
      <c r="M29">
        <f>ff(P28+L29/2*B29,A29)</f>
        <v>2.2221997765699553E-3</v>
      </c>
      <c r="N29">
        <f>ff(P28+M29/2*B29,A29)</f>
        <v>2.246890885198527E-3</v>
      </c>
      <c r="O29">
        <f>ff(P28+N29*B29,A29)</f>
        <v>2.0197326858157894E-3</v>
      </c>
      <c r="P29">
        <f>P28+(1/6*L29+1/3*M29+1/3*N29+1/6*O29)*B29</f>
        <v>0.24898922831644238</v>
      </c>
      <c r="R29">
        <f>ff(U28,A29)</f>
        <v>1.0689652172623521E-3</v>
      </c>
      <c r="S29">
        <f>ff(U28+R29/2*B29,A29)</f>
        <v>9.620686955361113E-4</v>
      </c>
      <c r="T29">
        <f>ff(U28-1*R29*B29+S29*2*B29,A29)</f>
        <v>8.9793078250038905E-4</v>
      </c>
      <c r="U29">
        <f>U28+(1/6*R29+2/3*S29+1/3*T29)*B29</f>
        <v>0.24957740241744228</v>
      </c>
      <c r="W29">
        <f>W28+B29/24*(55*ff(W28,A29)-59*ff(W27,A29)+37*ff(W26,A29)-9*ff(W25,A29))</f>
        <v>0.24905382433529927</v>
      </c>
      <c r="AA29">
        <f>A29</f>
        <v>2.5000000000000009</v>
      </c>
      <c r="AB29">
        <f>E29</f>
        <v>0.24943331602205565</v>
      </c>
      <c r="AC29">
        <f>F29</f>
        <v>0.24842761059844062</v>
      </c>
      <c r="AD29">
        <f t="shared" si="0"/>
        <v>0.24893046331024815</v>
      </c>
      <c r="AE29">
        <f t="shared" si="1"/>
        <v>0.24894939958347634</v>
      </c>
      <c r="AF29">
        <f t="shared" si="2"/>
        <v>0.24898922831644238</v>
      </c>
      <c r="AG29">
        <f t="shared" si="3"/>
        <v>0.24957740241744228</v>
      </c>
      <c r="AH29">
        <f t="shared" si="4"/>
        <v>0.24905382433529927</v>
      </c>
    </row>
    <row r="30" spans="1:34" x14ac:dyDescent="0.25">
      <c r="A30">
        <f t="shared" si="7"/>
        <v>2.600000000000001</v>
      </c>
      <c r="B30">
        <f t="shared" si="5"/>
        <v>0.10000000000000009</v>
      </c>
      <c r="E30">
        <f t="shared" si="6"/>
        <v>0.24954665281764452</v>
      </c>
      <c r="F30">
        <f t="shared" si="8"/>
        <v>0.24868967549870055</v>
      </c>
      <c r="H30">
        <f t="shared" si="9"/>
        <v>0.24911816415817253</v>
      </c>
      <c r="I30">
        <f>J29+B30*(ff(J29,A30))</f>
        <v>0.24915951966678107</v>
      </c>
      <c r="J30">
        <f>J29+B30*AVERAGE(ff(I30,A30),ff(J29,A30))</f>
        <v>0.24913850765845061</v>
      </c>
      <c r="L30">
        <f>ff(P29,A30)</f>
        <v>2.0215433671152416E-3</v>
      </c>
      <c r="M30">
        <f>ff(P29+L30/2*B30,A30)</f>
        <v>1.8193890304037397E-3</v>
      </c>
      <c r="N30">
        <f>ff(P29+M30/2*B30,A30)</f>
        <v>1.8396044640748843E-3</v>
      </c>
      <c r="O30">
        <f>ff(P29+N30*B30,A30)</f>
        <v>1.653622474300287E-3</v>
      </c>
      <c r="P30">
        <f>P29+(1/6*L30+1/3*M30+1/3*N30+1/6*O30)*B30</f>
        <v>0.24917244753028192</v>
      </c>
      <c r="R30">
        <f>ff(U29,A30)</f>
        <v>8.4519516511544213E-4</v>
      </c>
      <c r="S30">
        <f>ff(U29+R30/2*B30,A30)</f>
        <v>7.6067564860388126E-4</v>
      </c>
      <c r="T30">
        <f>ff(U29-1*R30*B30+S30*2*B30,A30)</f>
        <v>7.0996393869693364E-4</v>
      </c>
      <c r="U30">
        <f>U29+(1/6*R30+2/3*S30+1/3*T30)*B30</f>
        <v>0.24966586617805769</v>
      </c>
      <c r="W30">
        <f>W29+B30/24*(55*ff(W29,A30)-59*ff(W28,A30)+37*ff(W27,A30)-9*ff(W26,A30))</f>
        <v>0.24922373044286134</v>
      </c>
      <c r="AA30">
        <f>A30</f>
        <v>2.600000000000001</v>
      </c>
      <c r="AB30">
        <f>E30</f>
        <v>0.24954665281764452</v>
      </c>
      <c r="AC30">
        <f>F30</f>
        <v>0.24868967549870055</v>
      </c>
      <c r="AD30">
        <f t="shared" si="0"/>
        <v>0.24911816415817253</v>
      </c>
      <c r="AE30">
        <f t="shared" si="1"/>
        <v>0.24913850765845061</v>
      </c>
      <c r="AF30">
        <f t="shared" si="2"/>
        <v>0.24917244753028192</v>
      </c>
      <c r="AG30">
        <f t="shared" si="3"/>
        <v>0.24966586617805769</v>
      </c>
      <c r="AH30">
        <f t="shared" si="4"/>
        <v>0.24922373044286134</v>
      </c>
    </row>
    <row r="31" spans="1:34" x14ac:dyDescent="0.25">
      <c r="A31">
        <f t="shared" si="7"/>
        <v>2.7000000000000011</v>
      </c>
      <c r="B31">
        <f t="shared" si="5"/>
        <v>0.10000000000000009</v>
      </c>
      <c r="E31">
        <f t="shared" si="6"/>
        <v>0.24963732225411561</v>
      </c>
      <c r="F31">
        <f t="shared" si="8"/>
        <v>0.24890806291558382</v>
      </c>
      <c r="H31">
        <f t="shared" si="9"/>
        <v>0.24927269258484971</v>
      </c>
      <c r="I31">
        <f>J30+B31*(ff(J30,A31))</f>
        <v>0.24931080612676049</v>
      </c>
      <c r="J31">
        <f>J30+B31*AVERAGE(ff(I31,A31),ff(J30,A31))</f>
        <v>0.24929357627992951</v>
      </c>
      <c r="L31">
        <f>ff(P30,A31)</f>
        <v>1.6551049394361583E-3</v>
      </c>
      <c r="M31">
        <f>ff(P30+L31/2*B31,A31)</f>
        <v>1.4895944454925147E-3</v>
      </c>
      <c r="N31">
        <f>ff(P30+M31/2*B31,A31)</f>
        <v>1.5061454948869235E-3</v>
      </c>
      <c r="O31">
        <f>ff(P30+N31*B31,A31)</f>
        <v>1.3538758404587625E-3</v>
      </c>
      <c r="P31">
        <f>P30+(1/6*L31+1/3*M31+1/3*N31+1/6*O31)*B31</f>
        <v>0.24932245520795948</v>
      </c>
      <c r="R31">
        <f>ff(U30,A31)</f>
        <v>6.6826764388461246E-4</v>
      </c>
      <c r="S31">
        <f>ff(U30+R31/2*B31,A31)</f>
        <v>6.0144087949615122E-4</v>
      </c>
      <c r="T31">
        <f>ff(U30-1*R31*B31+S31*2*B31,A31)</f>
        <v>5.6134482086306337E-4</v>
      </c>
      <c r="U31">
        <f>U30+(1/6*R31+2/3*S31+1/3*T31)*B31</f>
        <v>0.24973581152478427</v>
      </c>
      <c r="W31">
        <f>W30+B31/24*(55*ff(W30,A31)-59*ff(W29,A31)+37*ff(W28,A31)-9*ff(W27,A31))</f>
        <v>0.24936549782430023</v>
      </c>
      <c r="AA31">
        <f>A31</f>
        <v>2.7000000000000011</v>
      </c>
      <c r="AB31">
        <f>E31</f>
        <v>0.24963732225411561</v>
      </c>
      <c r="AC31">
        <f>F31</f>
        <v>0.24890806291558382</v>
      </c>
      <c r="AD31">
        <f t="shared" si="0"/>
        <v>0.24927269258484971</v>
      </c>
      <c r="AE31">
        <f t="shared" si="1"/>
        <v>0.24929357627992951</v>
      </c>
      <c r="AF31">
        <f t="shared" si="2"/>
        <v>0.24932245520795948</v>
      </c>
      <c r="AG31">
        <f t="shared" si="3"/>
        <v>0.24973581152478427</v>
      </c>
      <c r="AH31">
        <f t="shared" si="4"/>
        <v>0.24936549782430023</v>
      </c>
    </row>
    <row r="32" spans="1:34" x14ac:dyDescent="0.25">
      <c r="A32">
        <f t="shared" si="7"/>
        <v>2.8000000000000012</v>
      </c>
      <c r="B32">
        <f t="shared" si="5"/>
        <v>0.10000000000000009</v>
      </c>
      <c r="E32">
        <f t="shared" si="6"/>
        <v>0.2497098578032925</v>
      </c>
      <c r="F32">
        <f t="shared" si="8"/>
        <v>0.24909005242965318</v>
      </c>
      <c r="H32">
        <f t="shared" si="9"/>
        <v>0.24939995511647284</v>
      </c>
      <c r="I32">
        <f>J31+B32*(ff(J31,A32))</f>
        <v>0.2494348610239436</v>
      </c>
      <c r="J32">
        <f>J31+B32*AVERAGE(ff(I32,A32),ff(J31,A32))</f>
        <v>0.2494207325495422</v>
      </c>
      <c r="L32">
        <f>ff(P31,A32)</f>
        <v>1.3550895840810373E-3</v>
      </c>
      <c r="M32">
        <f>ff(P31+L32/2*B32,A32)</f>
        <v>1.2195806256729558E-3</v>
      </c>
      <c r="N32">
        <f>ff(P31+M32/2*B32,A32)</f>
        <v>1.2331315215137195E-3</v>
      </c>
      <c r="O32">
        <f>ff(P31+N32*B32,A32)</f>
        <v>1.1084632797783156E-3</v>
      </c>
      <c r="P32">
        <f>P31+(1/6*L32+1/3*M32+1/3*N32+1/6*O32)*B32</f>
        <v>0.24944527149393003</v>
      </c>
      <c r="R32">
        <f>ff(U31,A32)</f>
        <v>5.2837695043145283E-4</v>
      </c>
      <c r="S32">
        <f>ff(U31+R32/2*B32,A32)</f>
        <v>4.7553925538829089E-4</v>
      </c>
      <c r="T32">
        <f>ff(U31-1*R32*B32+S32*2*B32,A32)</f>
        <v>4.4383663836239373E-4</v>
      </c>
      <c r="U32">
        <f>U31+(1/6*R32+2/3*S32+1/3*T32)*B32</f>
        <v>0.24979111497892942</v>
      </c>
      <c r="W32">
        <f>W31+B32/24*(55*ff(W31,A32)-59*ff(W30,A32)+37*ff(W29,A32)-9*ff(W28,A32))</f>
        <v>0.24947954517143722</v>
      </c>
      <c r="AA32">
        <f>A32</f>
        <v>2.8000000000000012</v>
      </c>
      <c r="AB32">
        <f>E32</f>
        <v>0.2497098578032925</v>
      </c>
      <c r="AC32">
        <f>F32</f>
        <v>0.24909005242965318</v>
      </c>
      <c r="AD32">
        <f t="shared" si="0"/>
        <v>0.24939995511647284</v>
      </c>
      <c r="AE32">
        <f t="shared" si="1"/>
        <v>0.2494207325495422</v>
      </c>
      <c r="AF32">
        <f t="shared" si="2"/>
        <v>0.24944527149393003</v>
      </c>
      <c r="AG32">
        <f t="shared" si="3"/>
        <v>0.24979111497892942</v>
      </c>
      <c r="AH32">
        <f t="shared" si="4"/>
        <v>0.24947954517143722</v>
      </c>
    </row>
    <row r="33" spans="1:34" x14ac:dyDescent="0.25">
      <c r="A33">
        <f t="shared" si="7"/>
        <v>2.9000000000000012</v>
      </c>
      <c r="B33">
        <f t="shared" si="5"/>
        <v>0.10000000000000009</v>
      </c>
      <c r="E33">
        <f t="shared" si="6"/>
        <v>0.24976788624263399</v>
      </c>
      <c r="F33">
        <f t="shared" si="8"/>
        <v>0.24924171035804435</v>
      </c>
      <c r="H33">
        <f t="shared" si="9"/>
        <v>0.24950479830033917</v>
      </c>
      <c r="I33">
        <f>J32+B33*(ff(J32,A33))</f>
        <v>0.24953658603963375</v>
      </c>
      <c r="J33">
        <f>J32+B33*AVERAGE(ff(I33,A33),ff(J32,A33))</f>
        <v>0.24952500069062461</v>
      </c>
      <c r="L33">
        <f>ff(P32,A33)</f>
        <v>1.1094570121399361E-3</v>
      </c>
      <c r="M33">
        <f>ff(P32+L33/2*B33,A33)</f>
        <v>9.9851131092593137E-4</v>
      </c>
      <c r="N33">
        <f>ff(P32+M33/2*B33,A33)</f>
        <v>1.0096058810473152E-3</v>
      </c>
      <c r="O33">
        <f>ff(P32+N33*B33,A33)</f>
        <v>9.0753583593045084E-4</v>
      </c>
      <c r="P33">
        <f>P32+(1/6*L33+1/3*M33+1/3*N33+1/6*O33)*B33</f>
        <v>0.24954582528113031</v>
      </c>
      <c r="R33">
        <f>ff(U32,A33)</f>
        <v>4.1777004214116342E-4</v>
      </c>
      <c r="S33">
        <f>ff(U32+R33/2*B33,A33)</f>
        <v>3.7599303792706928E-4</v>
      </c>
      <c r="T33">
        <f>ff(U32-1*R33*B33+S33*2*B33,A33)</f>
        <v>3.5092683539855729E-4</v>
      </c>
      <c r="U33">
        <f>U32+(1/6*R33+2/3*S33+1/3*T33)*B33</f>
        <v>0.24983484157667352</v>
      </c>
      <c r="W33">
        <f>W32+B33/24*(55*ff(W32,A33)-59*ff(W31,A33)+37*ff(W30,A33)-9*ff(W29,A33))</f>
        <v>0.24957451000340797</v>
      </c>
      <c r="AA33">
        <f>A33</f>
        <v>2.9000000000000012</v>
      </c>
      <c r="AB33">
        <f>E33</f>
        <v>0.24976788624263399</v>
      </c>
      <c r="AC33">
        <f>F33</f>
        <v>0.24924171035804435</v>
      </c>
      <c r="AD33">
        <f t="shared" si="0"/>
        <v>0.24950479830033917</v>
      </c>
      <c r="AE33">
        <f t="shared" si="1"/>
        <v>0.24952500069062461</v>
      </c>
      <c r="AF33">
        <f t="shared" si="2"/>
        <v>0.24954582528113031</v>
      </c>
      <c r="AG33">
        <f t="shared" si="3"/>
        <v>0.24983484157667352</v>
      </c>
      <c r="AH33">
        <f t="shared" si="4"/>
        <v>0.24957451000340797</v>
      </c>
    </row>
    <row r="34" spans="1:34" x14ac:dyDescent="0.25">
      <c r="A34">
        <f t="shared" si="7"/>
        <v>3.0000000000000013</v>
      </c>
      <c r="B34">
        <f t="shared" si="5"/>
        <v>0.10000000000000009</v>
      </c>
      <c r="E34">
        <f t="shared" si="6"/>
        <v>0.2498143089941072</v>
      </c>
      <c r="F34">
        <f t="shared" si="8"/>
        <v>0.24936809196503693</v>
      </c>
      <c r="H34">
        <f t="shared" si="9"/>
        <v>0.24959120047957206</v>
      </c>
      <c r="I34">
        <f>J33+B34*(ff(J33,A34))</f>
        <v>0.24962000055249969</v>
      </c>
      <c r="J34">
        <f>J33+B34*AVERAGE(ff(I34,A34),ff(J33,A34))</f>
        <v>0.24961050056631218</v>
      </c>
      <c r="L34">
        <f>ff(P33,A34)</f>
        <v>9.0834943773937527E-4</v>
      </c>
      <c r="M34">
        <f>ff(P33+L34/2*B34,A34)</f>
        <v>8.1751449396544329E-4</v>
      </c>
      <c r="N34">
        <f>ff(P33+M34/2*B34,A34)</f>
        <v>8.2659798834283649E-4</v>
      </c>
      <c r="O34">
        <f>ff(P33+N34*B34,A34)</f>
        <v>7.4302984007079687E-4</v>
      </c>
      <c r="P34">
        <f>P33+(1/6*L34+1/3*M34+1/3*N34+1/6*O34)*B34</f>
        <v>0.24962815201850408</v>
      </c>
      <c r="R34">
        <f>ff(U33,A34)</f>
        <v>3.3031684665296712E-4</v>
      </c>
      <c r="S34">
        <f>ff(U33+R34/2*B34,A34)</f>
        <v>2.9728516198768151E-4</v>
      </c>
      <c r="T34">
        <f>ff(U33-1*R34*B34+S34*2*B34,A34)</f>
        <v>2.7746615118845463E-4</v>
      </c>
      <c r="U34">
        <f>U33+(1/6*R34+2/3*S34+1/3*T34)*B34</f>
        <v>0.24986941473995652</v>
      </c>
      <c r="W34">
        <f>W33+B34/24*(55*ff(W33,A34)-59*ff(W32,A34)+37*ff(W31,A34)-9*ff(W30,A34))</f>
        <v>0.24965105391519132</v>
      </c>
      <c r="AA34">
        <f>A34</f>
        <v>3.0000000000000013</v>
      </c>
      <c r="AB34">
        <f>E34</f>
        <v>0.2498143089941072</v>
      </c>
      <c r="AC34">
        <f>F34</f>
        <v>0.24936809196503693</v>
      </c>
      <c r="AD34">
        <f t="shared" si="0"/>
        <v>0.24959120047957206</v>
      </c>
      <c r="AE34">
        <f t="shared" si="1"/>
        <v>0.24961050056631218</v>
      </c>
      <c r="AF34">
        <f t="shared" si="2"/>
        <v>0.24962815201850408</v>
      </c>
      <c r="AG34">
        <f t="shared" si="3"/>
        <v>0.24986941473995652</v>
      </c>
      <c r="AH34">
        <f t="shared" si="4"/>
        <v>0.24965105391519132</v>
      </c>
    </row>
    <row r="35" spans="1:34" x14ac:dyDescent="0.25">
      <c r="A35">
        <f t="shared" si="7"/>
        <v>3.1000000000000014</v>
      </c>
      <c r="B35">
        <f t="shared" si="5"/>
        <v>0.10000000000000009</v>
      </c>
      <c r="E35">
        <f t="shared" si="6"/>
        <v>0.24985144719528576</v>
      </c>
      <c r="F35">
        <f t="shared" si="8"/>
        <v>0.24947340997086412</v>
      </c>
      <c r="H35">
        <f t="shared" si="9"/>
        <v>0.24966242858307494</v>
      </c>
      <c r="I35">
        <f>J34+B35*(ff(J34,A35))</f>
        <v>0.24968840045304974</v>
      </c>
      <c r="J35">
        <f>J34+B35*AVERAGE(ff(I35,A35),ff(J34,A35))</f>
        <v>0.24968061046437598</v>
      </c>
      <c r="L35">
        <f>ff(P34,A35)</f>
        <v>7.436959629918416E-4</v>
      </c>
      <c r="M35">
        <f>ff(P34+L35/2*B35,A35)</f>
        <v>6.6932636669264634E-4</v>
      </c>
      <c r="N35">
        <f>ff(P34+M35/2*B35,A35)</f>
        <v>6.7676332632254921E-4</v>
      </c>
      <c r="O35">
        <f>ff(P34+N35*B35,A35)</f>
        <v>6.0834329772735396E-4</v>
      </c>
      <c r="P35">
        <f>P34+(1/6*L35+1/3*M35+1/3*N35+1/6*O35)*B35</f>
        <v>0.24969555566261659</v>
      </c>
      <c r="R35">
        <f>ff(U34,A35)</f>
        <v>2.6117052008695074E-4</v>
      </c>
      <c r="S35">
        <f>ff(U34+R35/2*B35,A35)</f>
        <v>2.3505346807822791E-4</v>
      </c>
      <c r="T35">
        <f>ff(U34-1*R35*B35+S35*2*B35,A35)</f>
        <v>2.1938323687303862E-4</v>
      </c>
      <c r="U35">
        <f>U34+(1/6*R35+2/3*S35+1/3*T35)*B35</f>
        <v>0.24989675058772562</v>
      </c>
      <c r="W35">
        <f>W34+B35/24*(55*ff(W34,A35)-59*ff(W33,A35)+37*ff(W32,A35)-9*ff(W31,A35))</f>
        <v>0.24971467419803359</v>
      </c>
      <c r="AA35">
        <f>A35</f>
        <v>3.1000000000000014</v>
      </c>
      <c r="AB35">
        <f>E35</f>
        <v>0.24985144719528576</v>
      </c>
      <c r="AC35">
        <f>F35</f>
        <v>0.24947340997086412</v>
      </c>
      <c r="AD35">
        <f t="shared" si="0"/>
        <v>0.24966242858307494</v>
      </c>
      <c r="AE35">
        <f t="shared" si="1"/>
        <v>0.24968061046437598</v>
      </c>
      <c r="AF35">
        <f t="shared" si="2"/>
        <v>0.24969555566261659</v>
      </c>
      <c r="AG35">
        <f t="shared" si="3"/>
        <v>0.24989675058772562</v>
      </c>
      <c r="AH35">
        <f t="shared" si="4"/>
        <v>0.24971467419803359</v>
      </c>
    </row>
    <row r="36" spans="1:34" x14ac:dyDescent="0.25">
      <c r="A36">
        <f t="shared" si="7"/>
        <v>3.2000000000000015</v>
      </c>
      <c r="B36">
        <f t="shared" ref="B36:B99" si="10">A36-A35</f>
        <v>0.10000000000000009</v>
      </c>
      <c r="E36">
        <f t="shared" ref="E36:E99" si="11">E35+B36*(ff(E35,A36))</f>
        <v>0.2498811577562286</v>
      </c>
      <c r="F36">
        <f t="shared" si="8"/>
        <v>0.24956117497572008</v>
      </c>
      <c r="H36">
        <f t="shared" si="9"/>
        <v>0.24972116636597436</v>
      </c>
      <c r="I36">
        <f>J35+B36*(ff(J35,A36))</f>
        <v>0.24974448837150079</v>
      </c>
      <c r="J36">
        <f>J35+B36*AVERAGE(ff(I36,A36),ff(J35,A36))</f>
        <v>0.2497381005807883</v>
      </c>
      <c r="L36">
        <f>ff(P35,A36)</f>
        <v>6.0888867476682762E-4</v>
      </c>
      <c r="M36">
        <f>ff(P35+L36/2*B36,A36)</f>
        <v>5.4799980729014486E-4</v>
      </c>
      <c r="N36">
        <f>ff(P35+M36/2*B36,A36)</f>
        <v>5.5408869403783534E-4</v>
      </c>
      <c r="O36">
        <f>ff(P35+N36*B36,A36)</f>
        <v>4.9807093595927165E-4</v>
      </c>
      <c r="P36">
        <f>P35+(1/6*L36+1/3*M36+1/3*N36+1/6*O36)*B36</f>
        <v>0.24975074127283961</v>
      </c>
      <c r="R36">
        <f>ff(U35,A36)</f>
        <v>2.0649882454876201E-4</v>
      </c>
      <c r="S36">
        <f>ff(U35+R36/2*B36,A36)</f>
        <v>1.8584894209389136E-4</v>
      </c>
      <c r="T36">
        <f>ff(U35-1*R36*B36+S36*2*B36,A36)</f>
        <v>1.7345901262094676E-4</v>
      </c>
      <c r="U36">
        <f>U35+(1/6*R36+2/3*S36+1/3*T36)*B36</f>
        <v>0.24991836413136173</v>
      </c>
      <c r="W36">
        <f>W35+B36/24*(55*ff(W35,A36)-59*ff(W34,A36)+37*ff(W33,A36)-9*ff(W32,A36))</f>
        <v>0.24976604200237759</v>
      </c>
      <c r="AA36">
        <f>A36</f>
        <v>3.2000000000000015</v>
      </c>
      <c r="AB36">
        <f>E36</f>
        <v>0.2498811577562286</v>
      </c>
      <c r="AC36">
        <f>F36</f>
        <v>0.24956117497572008</v>
      </c>
      <c r="AD36">
        <f t="shared" si="0"/>
        <v>0.24972116636597436</v>
      </c>
      <c r="AE36">
        <f t="shared" si="1"/>
        <v>0.2497381005807883</v>
      </c>
      <c r="AF36">
        <f t="shared" si="2"/>
        <v>0.24975074127283961</v>
      </c>
      <c r="AG36">
        <f t="shared" si="3"/>
        <v>0.24991836413136173</v>
      </c>
      <c r="AH36">
        <f t="shared" si="4"/>
        <v>0.24976604200237759</v>
      </c>
    </row>
    <row r="37" spans="1:34" x14ac:dyDescent="0.25">
      <c r="A37">
        <f t="shared" si="7"/>
        <v>3.3000000000000016</v>
      </c>
      <c r="B37">
        <f t="shared" si="10"/>
        <v>0.10000000000000009</v>
      </c>
      <c r="E37">
        <f t="shared" si="11"/>
        <v>0.24990492620498289</v>
      </c>
      <c r="F37">
        <f t="shared" si="8"/>
        <v>0.24963431247976672</v>
      </c>
      <c r="H37">
        <f t="shared" si="9"/>
        <v>0.24976961934237479</v>
      </c>
      <c r="I37">
        <f>J36+B37*(ff(J36,A37))</f>
        <v>0.24979048046463065</v>
      </c>
      <c r="J37">
        <f>J36+B37*AVERAGE(ff(I37,A37),ff(J36,A37))</f>
        <v>0.24978524247624639</v>
      </c>
      <c r="L37">
        <f>ff(P36,A37)</f>
        <v>4.9851745432077932E-4</v>
      </c>
      <c r="M37">
        <f>ff(P36+L37/2*B37,A37)</f>
        <v>4.4866570888868473E-4</v>
      </c>
      <c r="N37">
        <f>ff(P36+M37/2*B37,A37)</f>
        <v>4.5365088343191085E-4</v>
      </c>
      <c r="O37">
        <f>ff(P36+N37*B37,A37)</f>
        <v>4.0778727763440825E-4</v>
      </c>
      <c r="P37">
        <f>P36+(1/6*L37+1/3*M37+1/3*N37+1/6*O37)*B37</f>
        <v>0.24979592357144956</v>
      </c>
      <c r="R37">
        <f>ff(U36,A37)</f>
        <v>1.6327173727653799E-4</v>
      </c>
      <c r="S37">
        <f>ff(U36+R37/2*B37,A37)</f>
        <v>1.4694456354891194E-4</v>
      </c>
      <c r="T37">
        <f>ff(U36-1*R37*B37+S37*2*B37,A37)</f>
        <v>1.371482593122697E-4</v>
      </c>
      <c r="U37">
        <f>U36+(1/6*R37+2/3*S37+1/3*T37)*B37</f>
        <v>0.24993545323986335</v>
      </c>
      <c r="W37">
        <f>W36+B37/24*(55*ff(W36,A37)-59*ff(W35,A37)+37*ff(W34,A37)-9*ff(W33,A37))</f>
        <v>0.24980866752505931</v>
      </c>
      <c r="AA37">
        <f>A37</f>
        <v>3.3000000000000016</v>
      </c>
      <c r="AB37">
        <f>E37</f>
        <v>0.24990492620498289</v>
      </c>
      <c r="AC37">
        <f>F37</f>
        <v>0.24963431247976672</v>
      </c>
      <c r="AD37">
        <f t="shared" si="0"/>
        <v>0.24976961934237479</v>
      </c>
      <c r="AE37">
        <f t="shared" si="1"/>
        <v>0.24978524247624639</v>
      </c>
      <c r="AF37">
        <f t="shared" si="2"/>
        <v>0.24979592357144956</v>
      </c>
      <c r="AG37">
        <f t="shared" si="3"/>
        <v>0.24993545323986335</v>
      </c>
      <c r="AH37">
        <f t="shared" si="4"/>
        <v>0.24980866752505931</v>
      </c>
    </row>
    <row r="38" spans="1:34" x14ac:dyDescent="0.25">
      <c r="A38">
        <f t="shared" si="7"/>
        <v>3.4000000000000017</v>
      </c>
      <c r="B38">
        <f t="shared" si="10"/>
        <v>0.10000000000000009</v>
      </c>
      <c r="E38">
        <f t="shared" si="11"/>
        <v>0.24992394096398632</v>
      </c>
      <c r="F38">
        <f t="shared" si="8"/>
        <v>0.24969526039980564</v>
      </c>
      <c r="H38">
        <f t="shared" si="9"/>
        <v>0.24980960068189598</v>
      </c>
      <c r="I38">
        <f>J37+B38*(ff(J37,A38))</f>
        <v>0.24982819398099712</v>
      </c>
      <c r="J38">
        <f>J37+B38*AVERAGE(ff(I38,A38),ff(J37,A38))</f>
        <v>0.24982389883052206</v>
      </c>
      <c r="L38">
        <f>ff(P37,A38)</f>
        <v>4.0815285710088522E-4</v>
      </c>
      <c r="M38">
        <f>ff(P37+L38/2*B38,A38)</f>
        <v>3.6733757139079115E-4</v>
      </c>
      <c r="N38">
        <f>ff(P37+M38/2*B38,A38)</f>
        <v>3.7141909996180056E-4</v>
      </c>
      <c r="O38">
        <f>ff(P37+N38*B38,A38)</f>
        <v>3.3386903710852511E-4</v>
      </c>
      <c r="P38">
        <f>P37+(1/6*L38+1/3*M38+1/3*N38+1/6*O38)*B38</f>
        <v>0.24983291582539813</v>
      </c>
      <c r="R38">
        <f>ff(U37,A38)</f>
        <v>1.2909352027329346E-4</v>
      </c>
      <c r="S38">
        <f>ff(U37+R38/2*B38,A38)</f>
        <v>1.1618416824599187E-4</v>
      </c>
      <c r="T38">
        <f>ff(U37-1*R38*B38+S38*2*B38,A38)</f>
        <v>1.0843855702957761E-4</v>
      </c>
      <c r="U38">
        <f>U37+(1/6*R38+2/3*S38+1/3*T38)*B38</f>
        <v>0.24994896502831862</v>
      </c>
      <c r="W38">
        <f>W37+B38/24*(55*ff(W37,A38)-59*ff(W36,A38)+37*ff(W35,A38)-9*ff(W34,A38))</f>
        <v>0.24984313672648845</v>
      </c>
      <c r="AA38">
        <f>A38</f>
        <v>3.4000000000000017</v>
      </c>
      <c r="AB38">
        <f>E38</f>
        <v>0.24992394096398632</v>
      </c>
      <c r="AC38">
        <f>F38</f>
        <v>0.24969526039980564</v>
      </c>
      <c r="AD38">
        <f t="shared" si="0"/>
        <v>0.24980960068189598</v>
      </c>
      <c r="AE38">
        <f t="shared" si="1"/>
        <v>0.24982389883052206</v>
      </c>
      <c r="AF38">
        <f t="shared" si="2"/>
        <v>0.24983291582539813</v>
      </c>
      <c r="AG38">
        <f t="shared" si="3"/>
        <v>0.24994896502831862</v>
      </c>
      <c r="AH38">
        <f t="shared" si="4"/>
        <v>0.24984313672648845</v>
      </c>
    </row>
    <row r="39" spans="1:34" x14ac:dyDescent="0.25">
      <c r="A39">
        <f t="shared" si="7"/>
        <v>3.5000000000000018</v>
      </c>
      <c r="B39">
        <f t="shared" si="10"/>
        <v>0.10000000000000009</v>
      </c>
      <c r="E39">
        <f t="shared" si="11"/>
        <v>0.24993915277118905</v>
      </c>
      <c r="F39">
        <f t="shared" si="8"/>
        <v>0.24974605033317135</v>
      </c>
      <c r="H39">
        <f t="shared" si="9"/>
        <v>0.24984260155218019</v>
      </c>
      <c r="I39">
        <f>J38+B39*(ff(J38,A39))</f>
        <v>0.24985911906441766</v>
      </c>
      <c r="J39">
        <f>J38+B39*AVERAGE(ff(I39,A39),ff(J38,A39))</f>
        <v>0.24985559704102808</v>
      </c>
      <c r="L39">
        <f>ff(P38,A39)</f>
        <v>3.3416834920374505E-4</v>
      </c>
      <c r="M39">
        <f>ff(P38+L39/2*B39,A39)</f>
        <v>3.0075151428338165E-4</v>
      </c>
      <c r="N39">
        <f>ff(P38+M39/2*B39,A39)</f>
        <v>3.0409319777541244E-4</v>
      </c>
      <c r="O39">
        <f>ff(P38+N39*B39,A39)</f>
        <v>2.7334970964865146E-4</v>
      </c>
      <c r="P39">
        <f>P38+(1/6*L39+1/3*M39+1/3*N39+1/6*O39)*B39</f>
        <v>0.24986320261678097</v>
      </c>
      <c r="R39">
        <f>ff(U38,A39)</f>
        <v>1.0206994336275921E-4</v>
      </c>
      <c r="S39">
        <f>ff(U38+R39/2*B39,A39)</f>
        <v>9.1862949026466634E-5</v>
      </c>
      <c r="T39">
        <f>ff(U38-1*R39*B39+S39*2*B39,A39)</f>
        <v>8.5738752424679987E-5</v>
      </c>
      <c r="U39">
        <f>U38+(1/6*R39+2/3*S39+1/3*T39)*B39</f>
        <v>0.24995964834905726</v>
      </c>
      <c r="W39">
        <f>W38+B39/24*(55*ff(W38,A39)-59*ff(W37,A39)+37*ff(W36,A39)-9*ff(W35,A39))</f>
        <v>0.24987169820745483</v>
      </c>
      <c r="AA39">
        <f>A39</f>
        <v>3.5000000000000018</v>
      </c>
      <c r="AB39">
        <f>E39</f>
        <v>0.24993915277118905</v>
      </c>
      <c r="AC39">
        <f>F39</f>
        <v>0.24974605033317135</v>
      </c>
      <c r="AD39">
        <f t="shared" si="0"/>
        <v>0.24984260155218019</v>
      </c>
      <c r="AE39">
        <f t="shared" si="1"/>
        <v>0.24985559704102808</v>
      </c>
      <c r="AF39">
        <f t="shared" si="2"/>
        <v>0.24986320261678097</v>
      </c>
      <c r="AG39">
        <f t="shared" si="3"/>
        <v>0.24995964834905726</v>
      </c>
      <c r="AH39">
        <f t="shared" si="4"/>
        <v>0.24987169820745483</v>
      </c>
    </row>
    <row r="40" spans="1:34" x14ac:dyDescent="0.25">
      <c r="A40">
        <f t="shared" si="7"/>
        <v>3.6000000000000019</v>
      </c>
      <c r="B40">
        <f t="shared" si="10"/>
        <v>0.10000000000000009</v>
      </c>
      <c r="E40">
        <f t="shared" si="11"/>
        <v>0.24995132221695124</v>
      </c>
      <c r="F40">
        <f t="shared" si="8"/>
        <v>0.24978837527764278</v>
      </c>
      <c r="H40">
        <f t="shared" si="9"/>
        <v>0.24986984874729701</v>
      </c>
      <c r="I40">
        <f>J39+B40*(ff(J39,A40))</f>
        <v>0.24988447763282245</v>
      </c>
      <c r="J40">
        <f>J39+B40*AVERAGE(ff(I40,A40),ff(J39,A40))</f>
        <v>0.24988158957364304</v>
      </c>
      <c r="L40">
        <f>ff(P39,A40)</f>
        <v>2.7359476643806779E-4</v>
      </c>
      <c r="M40">
        <f>ff(P39+L40/2*B40,A40)</f>
        <v>2.4623528979428322E-4</v>
      </c>
      <c r="N40">
        <f>ff(P39+M40/2*B40,A40)</f>
        <v>2.4897123745865057E-4</v>
      </c>
      <c r="O40">
        <f>ff(P39+N40*B40,A40)</f>
        <v>2.2380051894632658E-4</v>
      </c>
      <c r="P40">
        <f>P39+(1/6*L40+1/3*M40+1/3*N40+1/6*O40)*B40</f>
        <v>0.2498879994224458</v>
      </c>
      <c r="R40">
        <f>ff(U39,A40)</f>
        <v>8.0703301885476364E-5</v>
      </c>
      <c r="S40">
        <f>ff(U39+R40/2*B40,A40)</f>
        <v>7.2632971696906523E-5</v>
      </c>
      <c r="T40">
        <f>ff(U39-1*R40*B40+S40*2*B40,A40)</f>
        <v>6.779077358382013E-5</v>
      </c>
      <c r="U40">
        <f>U39+(1/6*R40+2/3*S40+1/3*T40)*B40</f>
        <v>0.24996809529465461</v>
      </c>
      <c r="W40">
        <f>W39+B40/24*(55*ff(W39,A40)-59*ff(W38,A40)+37*ff(W37,A40)-9*ff(W36,A40))</f>
        <v>0.24989482608284655</v>
      </c>
      <c r="AA40">
        <f>A40</f>
        <v>3.6000000000000019</v>
      </c>
      <c r="AB40">
        <f>E40</f>
        <v>0.24995132221695124</v>
      </c>
      <c r="AC40">
        <f>F40</f>
        <v>0.24978837527764278</v>
      </c>
      <c r="AD40">
        <f t="shared" si="0"/>
        <v>0.24986984874729701</v>
      </c>
      <c r="AE40">
        <f t="shared" si="1"/>
        <v>0.24988158957364304</v>
      </c>
      <c r="AF40">
        <f t="shared" si="2"/>
        <v>0.2498879994224458</v>
      </c>
      <c r="AG40">
        <f t="shared" si="3"/>
        <v>0.24996809529465461</v>
      </c>
      <c r="AH40">
        <f t="shared" si="4"/>
        <v>0.24989482608284655</v>
      </c>
    </row>
    <row r="41" spans="1:34" x14ac:dyDescent="0.25">
      <c r="A41">
        <f t="shared" si="7"/>
        <v>3.700000000000002</v>
      </c>
      <c r="B41">
        <f t="shared" si="10"/>
        <v>0.10000000000000009</v>
      </c>
      <c r="E41">
        <f t="shared" si="11"/>
        <v>0.24996105777356098</v>
      </c>
      <c r="F41">
        <f t="shared" si="8"/>
        <v>0.24982364606470228</v>
      </c>
      <c r="H41">
        <f t="shared" si="9"/>
        <v>0.24989235191913162</v>
      </c>
      <c r="I41">
        <f>J40+B41*(ff(J40,A41))</f>
        <v>0.24990527165891444</v>
      </c>
      <c r="J41">
        <f>J40+B41*AVERAGE(ff(I41,A41),ff(J40,A41))</f>
        <v>0.24990290345038729</v>
      </c>
      <c r="L41">
        <f>ff(P40,A41)</f>
        <v>2.240011551083998E-4</v>
      </c>
      <c r="M41">
        <f>ff(P40+L41/2*B41,A41)</f>
        <v>2.0160103959754316E-4</v>
      </c>
      <c r="N41">
        <f>ff(P40+M41/2*B41,A41)</f>
        <v>2.0384105114862328E-4</v>
      </c>
      <c r="O41">
        <f>ff(P40+N41*B41,A41)</f>
        <v>1.8323294487865294E-4</v>
      </c>
      <c r="P41">
        <f>P40+(1/6*L41+1/3*M41+1/3*N41+1/6*O41)*B41</f>
        <v>0.24990830139380379</v>
      </c>
      <c r="R41">
        <f>ff(U40,A41)</f>
        <v>6.380941069078494E-5</v>
      </c>
      <c r="S41">
        <f>ff(U40+R41/2*B41,A41)</f>
        <v>5.7428469621700895E-5</v>
      </c>
      <c r="T41">
        <f>ff(U40-1*R41*B41+S41*2*B41,A41)</f>
        <v>5.3599904980272672E-5</v>
      </c>
      <c r="U41">
        <f>U40+(1/6*R41+2/3*S41+1/3*T41)*B41</f>
        <v>0.24997477401297358</v>
      </c>
      <c r="W41">
        <f>W40+B41/24*(55*ff(W40,A41)-59*ff(W39,A41)+37*ff(W38,A41)-9*ff(W37,A41))</f>
        <v>0.24991396532058602</v>
      </c>
      <c r="AA41">
        <f>A41</f>
        <v>3.700000000000002</v>
      </c>
      <c r="AB41">
        <f>E41</f>
        <v>0.24996105777356098</v>
      </c>
      <c r="AC41">
        <f>F41</f>
        <v>0.24982364606470228</v>
      </c>
      <c r="AD41">
        <f t="shared" si="0"/>
        <v>0.24989235191913162</v>
      </c>
      <c r="AE41">
        <f t="shared" si="1"/>
        <v>0.24990290345038729</v>
      </c>
      <c r="AF41">
        <f t="shared" si="2"/>
        <v>0.24990830139380379</v>
      </c>
      <c r="AG41">
        <f t="shared" si="3"/>
        <v>0.24997477401297358</v>
      </c>
      <c r="AH41">
        <f t="shared" si="4"/>
        <v>0.24991396532058602</v>
      </c>
    </row>
    <row r="42" spans="1:34" x14ac:dyDescent="0.25">
      <c r="A42">
        <f t="shared" si="7"/>
        <v>3.800000000000002</v>
      </c>
      <c r="B42">
        <f t="shared" si="10"/>
        <v>0.10000000000000009</v>
      </c>
      <c r="E42">
        <f t="shared" si="11"/>
        <v>0.24996884621884879</v>
      </c>
      <c r="F42">
        <f t="shared" si="8"/>
        <v>0.24985303838725192</v>
      </c>
      <c r="H42">
        <f t="shared" si="9"/>
        <v>0.24991094230305036</v>
      </c>
      <c r="I42">
        <f>J41+B42*(ff(J41,A42))</f>
        <v>0.24992232276030985</v>
      </c>
      <c r="J42">
        <f>J41+B42*AVERAGE(ff(I42,A42),ff(J41,A42))</f>
        <v>0.24992038082931758</v>
      </c>
      <c r="L42">
        <f>ff(P41,A42)</f>
        <v>1.8339721239241102E-4</v>
      </c>
      <c r="M42">
        <f>ff(P41+L42/2*B42,A42)</f>
        <v>1.6505749115314217E-4</v>
      </c>
      <c r="N42">
        <f>ff(P41+M42/2*B42,A42)</f>
        <v>1.6689146327708571E-4</v>
      </c>
      <c r="O42">
        <f>ff(P41+N42*B42,A42)</f>
        <v>1.5001891973698278E-4</v>
      </c>
      <c r="P42">
        <f>P41+(1/6*L42+1/3*M42+1/3*N42+1/6*O42)*B42</f>
        <v>0.24992492329448696</v>
      </c>
      <c r="R42">
        <f>ff(U41,A42)</f>
        <v>5.0451974052845294E-5</v>
      </c>
      <c r="S42">
        <f>ff(U41+R42/2*B42,A42)</f>
        <v>4.5406776647549663E-5</v>
      </c>
      <c r="T42">
        <f>ff(U41-1*R42*B42+S42*2*B42,A42)</f>
        <v>4.2379658204416693E-5</v>
      </c>
      <c r="U42">
        <f>U41+(1/6*R42+2/3*S42+1/3*T42)*B42</f>
        <v>0.24998005465292444</v>
      </c>
      <c r="W42">
        <f>W41+B42/24*(55*ff(W41,A42)-59*ff(W40,A42)+37*ff(W39,A42)-9*ff(W38,A42))</f>
        <v>0.2499294823465717</v>
      </c>
      <c r="AA42">
        <f>A42</f>
        <v>3.800000000000002</v>
      </c>
      <c r="AB42">
        <f>E42</f>
        <v>0.24996884621884879</v>
      </c>
      <c r="AC42">
        <f>F42</f>
        <v>0.24985303838725192</v>
      </c>
      <c r="AD42">
        <f t="shared" si="0"/>
        <v>0.24991094230305036</v>
      </c>
      <c r="AE42">
        <f t="shared" si="1"/>
        <v>0.24992038082931758</v>
      </c>
      <c r="AF42">
        <f t="shared" si="2"/>
        <v>0.24992492329448696</v>
      </c>
      <c r="AG42">
        <f t="shared" si="3"/>
        <v>0.24998005465292444</v>
      </c>
      <c r="AH42">
        <f t="shared" si="4"/>
        <v>0.2499294823465717</v>
      </c>
    </row>
    <row r="43" spans="1:34" x14ac:dyDescent="0.25">
      <c r="A43">
        <f t="shared" si="7"/>
        <v>3.9000000000000021</v>
      </c>
      <c r="B43">
        <f t="shared" si="10"/>
        <v>0.10000000000000009</v>
      </c>
      <c r="E43">
        <f t="shared" si="11"/>
        <v>0.24997507697507904</v>
      </c>
      <c r="F43">
        <f t="shared" si="8"/>
        <v>0.24987753198937659</v>
      </c>
      <c r="H43">
        <f t="shared" si="9"/>
        <v>0.2499263044822278</v>
      </c>
      <c r="I43">
        <f>J42+B43*(ff(J42,A43))</f>
        <v>0.24993630466345407</v>
      </c>
      <c r="J43">
        <f>J42+B43*AVERAGE(ff(I43,A43),ff(J42,A43))</f>
        <v>0.24993471228004041</v>
      </c>
      <c r="L43">
        <f>ff(P42,A43)</f>
        <v>1.5015341102608826E-4</v>
      </c>
      <c r="M43">
        <f>ff(P42+L43/2*B43,A43)</f>
        <v>1.3513806992349053E-4</v>
      </c>
      <c r="N43">
        <f>ff(P42+M43/2*B43,A43)</f>
        <v>1.3663960403376141E-4</v>
      </c>
      <c r="O43">
        <f>ff(P42+N43*B43,A43)</f>
        <v>1.2282549021935818E-4</v>
      </c>
      <c r="P43">
        <f>P42+(1/6*L43+1/3*M43+1/3*N43+1/6*O43)*B43</f>
        <v>0.24993853219863962</v>
      </c>
      <c r="R43">
        <f>ff(U42,A43)</f>
        <v>3.9890694151112349E-5</v>
      </c>
      <c r="S43">
        <f>ff(U42+R43/2*B43,A43)</f>
        <v>3.5901624735990012E-5</v>
      </c>
      <c r="T43">
        <f>ff(U42-1*R43*B43+S43*2*B43,A43)</f>
        <v>3.3508183086949916E-5</v>
      </c>
      <c r="U43">
        <f>U42+(1/6*R43+2/3*S43+1/3*T43)*B43</f>
        <v>0.24998422987891225</v>
      </c>
      <c r="W43">
        <f>W42+B43/24*(55*ff(W42,A43)-59*ff(W41,A43)+37*ff(W40,A43)-9*ff(W39,A43))</f>
        <v>0.2499423085436959</v>
      </c>
      <c r="AA43">
        <f>A43</f>
        <v>3.9000000000000021</v>
      </c>
      <c r="AB43">
        <f>E43</f>
        <v>0.24997507697507904</v>
      </c>
      <c r="AC43">
        <f>F43</f>
        <v>0.24987753198937659</v>
      </c>
      <c r="AD43">
        <f t="shared" si="0"/>
        <v>0.2499263044822278</v>
      </c>
      <c r="AE43">
        <f t="shared" si="1"/>
        <v>0.24993471228004041</v>
      </c>
      <c r="AF43">
        <f t="shared" si="2"/>
        <v>0.24993853219863962</v>
      </c>
      <c r="AG43">
        <f t="shared" si="3"/>
        <v>0.24998422987891225</v>
      </c>
      <c r="AH43">
        <f t="shared" si="4"/>
        <v>0.2499423085436959</v>
      </c>
    </row>
    <row r="44" spans="1:34" x14ac:dyDescent="0.25">
      <c r="A44">
        <f t="shared" si="7"/>
        <v>4.0000000000000018</v>
      </c>
      <c r="B44">
        <f t="shared" si="10"/>
        <v>9.9999999999999645E-2</v>
      </c>
      <c r="E44">
        <f t="shared" si="11"/>
        <v>0.24998006158006322</v>
      </c>
      <c r="F44">
        <f t="shared" si="8"/>
        <v>0.24989794332448048</v>
      </c>
      <c r="H44">
        <f t="shared" si="9"/>
        <v>0.24993900245227185</v>
      </c>
      <c r="I44">
        <f>J43+B44*(ff(J43,A44))</f>
        <v>0.24994776982403233</v>
      </c>
      <c r="J44">
        <f>J43+B44*AVERAGE(ff(I44,A44),ff(J43,A44))</f>
        <v>0.24994646406963314</v>
      </c>
      <c r="L44">
        <f>ff(P43,A44)</f>
        <v>1.2293560272075288E-4</v>
      </c>
      <c r="M44">
        <f>ff(P43+L44/2*B44,A44)</f>
        <v>1.1064204244870535E-4</v>
      </c>
      <c r="N44">
        <f>ff(P43+M44/2*B44,A44)</f>
        <v>1.1187139847590455E-4</v>
      </c>
      <c r="O44">
        <f>ff(P43+N44*B44,A44)</f>
        <v>1.0056132302554976E-4</v>
      </c>
      <c r="P44">
        <f>P43+(1/6*L44+1/3*M44+1/3*N44+1/6*O44)*B44</f>
        <v>0.24994967426209955</v>
      </c>
      <c r="R44">
        <f>ff(U43,A44)</f>
        <v>3.1540242175498445E-5</v>
      </c>
      <c r="S44">
        <f>ff(U43+R44/2*B44,A44)</f>
        <v>2.8386217957976356E-5</v>
      </c>
      <c r="T44">
        <f>ff(U43-1*R44*B44+S44*2*B44,A44)</f>
        <v>2.649380342739649E-5</v>
      </c>
      <c r="U44">
        <f>U43+(1/6*R44+2/3*S44+1/3*T44)*B44</f>
        <v>0.24998753109092661</v>
      </c>
      <c r="W44">
        <f>W43+B44/24*(55*ff(W43,A44)-59*ff(W42,A44)+37*ff(W41,A44)-9*ff(W40,A44))</f>
        <v>0.24995271859726584</v>
      </c>
      <c r="AA44">
        <f>A44</f>
        <v>4.0000000000000018</v>
      </c>
      <c r="AB44">
        <f>E44</f>
        <v>0.24998006158006322</v>
      </c>
      <c r="AC44">
        <f>F44</f>
        <v>0.24989794332448048</v>
      </c>
      <c r="AD44">
        <f t="shared" si="0"/>
        <v>0.24993900245227185</v>
      </c>
      <c r="AE44">
        <f t="shared" si="1"/>
        <v>0.24994646406963314</v>
      </c>
      <c r="AF44">
        <f t="shared" si="2"/>
        <v>0.24994967426209955</v>
      </c>
      <c r="AG44">
        <f t="shared" si="3"/>
        <v>0.24998753109092661</v>
      </c>
      <c r="AH44">
        <f t="shared" si="4"/>
        <v>0.24995271859726584</v>
      </c>
    </row>
    <row r="45" spans="1:34" x14ac:dyDescent="0.25">
      <c r="A45">
        <f t="shared" si="7"/>
        <v>4.1000000000000014</v>
      </c>
      <c r="B45">
        <f t="shared" si="10"/>
        <v>9.9999999999999645E-2</v>
      </c>
      <c r="E45">
        <f t="shared" si="11"/>
        <v>0.24998404926405057</v>
      </c>
      <c r="F45">
        <f t="shared" si="8"/>
        <v>0.24991495277040038</v>
      </c>
      <c r="H45">
        <f t="shared" si="9"/>
        <v>0.24994950101722546</v>
      </c>
      <c r="I45">
        <f>J44+B45*(ff(J44,A45))</f>
        <v>0.24995717125570652</v>
      </c>
      <c r="J45">
        <f>J44+B45*AVERAGE(ff(I45,A45),ff(J44,A45))</f>
        <v>0.24995610053709919</v>
      </c>
      <c r="L45">
        <f>ff(P44,A45)</f>
        <v>1.0065147580090583E-4</v>
      </c>
      <c r="M45">
        <f>ff(P44+L45/2*B45,A45)</f>
        <v>9.0586328220843004E-5</v>
      </c>
      <c r="N45">
        <f>ff(P44+M45/2*B45,A45)</f>
        <v>9.1592842978827083E-5</v>
      </c>
      <c r="O45">
        <f>ff(P44+N45*B45,A45)</f>
        <v>8.233290720516262E-5</v>
      </c>
      <c r="P45">
        <f>P44+(1/6*L45+1/3*M45+1/3*N45+1/6*O45)*B45</f>
        <v>0.2499587966408563</v>
      </c>
      <c r="R45">
        <f>ff(U44,A45)</f>
        <v>2.4937818146775204E-5</v>
      </c>
      <c r="S45">
        <f>ff(U44+R45/2*B45,A45)</f>
        <v>2.2444036332114337E-5</v>
      </c>
      <c r="T45">
        <f>ff(U44-1*R45*B45+S45*2*B45,A45)</f>
        <v>2.0947767243317816E-5</v>
      </c>
      <c r="U45">
        <f>U44+(1/6*R45+2/3*S45+1/3*T45)*B45</f>
        <v>0.24999014124922597</v>
      </c>
      <c r="W45">
        <f>W44+B45/24*(55*ff(W44,A45)-59*ff(W43,A45)+37*ff(W42,A45)-9*ff(W41,A45))</f>
        <v>0.24996131461635382</v>
      </c>
      <c r="AA45">
        <f>A45</f>
        <v>4.1000000000000014</v>
      </c>
      <c r="AB45">
        <f>E45</f>
        <v>0.24998404926405057</v>
      </c>
      <c r="AC45">
        <f>F45</f>
        <v>0.24991495277040038</v>
      </c>
      <c r="AD45">
        <f t="shared" si="0"/>
        <v>0.24994950101722546</v>
      </c>
      <c r="AE45">
        <f t="shared" si="1"/>
        <v>0.24995610053709919</v>
      </c>
      <c r="AF45">
        <f t="shared" si="2"/>
        <v>0.2499587966408563</v>
      </c>
      <c r="AG45">
        <f t="shared" si="3"/>
        <v>0.24999014124922597</v>
      </c>
      <c r="AH45">
        <f t="shared" si="4"/>
        <v>0.24996131461635382</v>
      </c>
    </row>
    <row r="46" spans="1:34" x14ac:dyDescent="0.25">
      <c r="A46">
        <f t="shared" si="7"/>
        <v>4.2000000000000011</v>
      </c>
      <c r="B46">
        <f t="shared" si="10"/>
        <v>9.9999999999999645E-2</v>
      </c>
      <c r="E46">
        <f t="shared" si="11"/>
        <v>0.24998723941124046</v>
      </c>
      <c r="F46">
        <f t="shared" si="8"/>
        <v>0.24992912730866698</v>
      </c>
      <c r="H46">
        <f t="shared" si="9"/>
        <v>0.24995818335995373</v>
      </c>
      <c r="I46">
        <f>J45+B46*(ff(J45,A46))</f>
        <v>0.24996488042967935</v>
      </c>
      <c r="J46">
        <f>J45+B46*AVERAGE(ff(I46,A46),ff(J45,A46))</f>
        <v>0.24996400244042133</v>
      </c>
      <c r="L46">
        <f>ff(P45,A46)</f>
        <v>8.2406718287408864E-5</v>
      </c>
      <c r="M46">
        <f>ff(P45+L46/2*B46,A46)</f>
        <v>7.4166046458656876E-5</v>
      </c>
      <c r="N46">
        <f>ff(P45+M46/2*B46,A46)</f>
        <v>7.4990113641537626E-5</v>
      </c>
      <c r="O46">
        <f>ff(P45+N46*B46,A46)</f>
        <v>6.7408695559101339E-5</v>
      </c>
      <c r="P46">
        <f>P45+(1/6*L46+1/3*M46+1/3*N46+1/6*O46)*B46</f>
        <v>0.24996626543642375</v>
      </c>
      <c r="R46">
        <f>ff(U45,A46)</f>
        <v>1.9717501548055516E-5</v>
      </c>
      <c r="S46">
        <f>ff(U45+R46/2*B46,A46)</f>
        <v>1.7745751393238862E-5</v>
      </c>
      <c r="T46">
        <f>ff(U45-1*R46*B46+S46*2*B46,A46)</f>
        <v>1.6562701300404381E-5</v>
      </c>
      <c r="U46">
        <f>U45+(1/6*R46+2/3*S46+1/3*T46)*B46</f>
        <v>0.24999220501438801</v>
      </c>
      <c r="W46">
        <f>W45+B46/24*(55*ff(W45,A46)-59*ff(W44,A46)+37*ff(W43,A46)-9*ff(W42,A46))</f>
        <v>0.24996829810253399</v>
      </c>
      <c r="AA46">
        <f>A46</f>
        <v>4.2000000000000011</v>
      </c>
      <c r="AB46">
        <f>E46</f>
        <v>0.24998723941124046</v>
      </c>
      <c r="AC46">
        <f>F46</f>
        <v>0.24992912730866698</v>
      </c>
      <c r="AD46">
        <f t="shared" si="0"/>
        <v>0.24995818335995373</v>
      </c>
      <c r="AE46">
        <f t="shared" si="1"/>
        <v>0.24996400244042133</v>
      </c>
      <c r="AF46">
        <f t="shared" si="2"/>
        <v>0.24996626543642375</v>
      </c>
      <c r="AG46">
        <f t="shared" si="3"/>
        <v>0.24999220501438801</v>
      </c>
      <c r="AH46">
        <f t="shared" si="4"/>
        <v>0.24996829810253399</v>
      </c>
    </row>
    <row r="47" spans="1:34" x14ac:dyDescent="0.25">
      <c r="A47">
        <f t="shared" si="7"/>
        <v>4.3000000000000007</v>
      </c>
      <c r="B47">
        <f t="shared" si="10"/>
        <v>9.9999999999999645E-2</v>
      </c>
      <c r="E47">
        <f t="shared" si="11"/>
        <v>0.24998979152899237</v>
      </c>
      <c r="F47">
        <f t="shared" si="8"/>
        <v>0.24994093942388917</v>
      </c>
      <c r="H47">
        <f t="shared" si="9"/>
        <v>0.24996536547644077</v>
      </c>
      <c r="I47">
        <f>J46+B47*(ff(J46,A47))</f>
        <v>0.24997120195233707</v>
      </c>
      <c r="J47">
        <f>J46+B47*AVERAGE(ff(I47,A47),ff(J46,A47))</f>
        <v>0.24997048200114549</v>
      </c>
      <c r="L47">
        <f>ff(P46,A47)</f>
        <v>6.7469127152497421E-5</v>
      </c>
      <c r="M47">
        <f>ff(P46+L47/2*B47,A47)</f>
        <v>6.0722214437258781E-5</v>
      </c>
      <c r="N47">
        <f>ff(P46+M47/2*B47,A47)</f>
        <v>6.1396905708777094E-5</v>
      </c>
      <c r="O47">
        <f>ff(P46+N47*B47,A47)</f>
        <v>5.5189746010764207E-5</v>
      </c>
      <c r="P47">
        <f>P46+(1/6*L47+1/3*M47+1/3*N47+1/6*O47)*B47</f>
        <v>0.24997238038831468</v>
      </c>
      <c r="R47">
        <f>ff(U46,A47)</f>
        <v>1.5589971223972654E-5</v>
      </c>
      <c r="S47">
        <f>ff(U46+R47/2*B47,A47)</f>
        <v>1.4030974101575389E-5</v>
      </c>
      <c r="T47">
        <f>ff(U46-1*R47*B47+S47*2*B47,A47)</f>
        <v>1.3095575828125927E-5</v>
      </c>
      <c r="U47">
        <f>U46+(1/6*R47+2/3*S47+1/3*T47)*B47</f>
        <v>0.24999383676470946</v>
      </c>
      <c r="W47">
        <f>W46+B47/24*(55*ff(W46,A47)-59*ff(W45,A47)+37*ff(W44,A47)-9*ff(W43,A47))</f>
        <v>0.24997405939853343</v>
      </c>
      <c r="AA47">
        <f>A47</f>
        <v>4.3000000000000007</v>
      </c>
      <c r="AB47">
        <f>E47</f>
        <v>0.24998979152899237</v>
      </c>
      <c r="AC47">
        <f>F47</f>
        <v>0.24994093942388917</v>
      </c>
      <c r="AD47">
        <f t="shared" si="0"/>
        <v>0.24996536547644077</v>
      </c>
      <c r="AE47">
        <f t="shared" si="1"/>
        <v>0.24997048200114549</v>
      </c>
      <c r="AF47">
        <f t="shared" si="2"/>
        <v>0.24997238038831468</v>
      </c>
      <c r="AG47">
        <f t="shared" si="3"/>
        <v>0.24999383676470946</v>
      </c>
      <c r="AH47">
        <f t="shared" si="4"/>
        <v>0.24997405939853343</v>
      </c>
    </row>
    <row r="48" spans="1:34" x14ac:dyDescent="0.25">
      <c r="A48">
        <f t="shared" si="7"/>
        <v>4.4000000000000004</v>
      </c>
      <c r="B48">
        <f t="shared" si="10"/>
        <v>9.9999999999999645E-2</v>
      </c>
      <c r="E48">
        <f t="shared" si="11"/>
        <v>0.2499918332231939</v>
      </c>
      <c r="F48">
        <f t="shared" si="8"/>
        <v>0.24995078285324099</v>
      </c>
      <c r="H48">
        <f t="shared" si="9"/>
        <v>0.24997130803821743</v>
      </c>
      <c r="I48">
        <f>J47+B48*(ff(J47,A48))</f>
        <v>0.2499763856009164</v>
      </c>
      <c r="J48">
        <f>J47+B48*AVERAGE(ff(I48,A48),ff(J47,A48))</f>
        <v>0.2499757952409393</v>
      </c>
      <c r="L48">
        <f>ff(P47,A48)</f>
        <v>5.5239223370640023E-5</v>
      </c>
      <c r="M48">
        <f>ff(P47+L48/2*B48,A48)</f>
        <v>4.9715301033592674E-5</v>
      </c>
      <c r="N48">
        <f>ff(P47+M48/2*B48,A48)</f>
        <v>5.0267693267269653E-5</v>
      </c>
      <c r="O48">
        <f>ff(P47+N48*B48,A48)</f>
        <v>4.518568471717499E-5</v>
      </c>
      <c r="P48">
        <f>P47+(1/6*L48+1/3*M48+1/3*N48+1/6*O48)*B48</f>
        <v>0.24997738690325952</v>
      </c>
      <c r="R48">
        <f>ff(U47,A48)</f>
        <v>1.232647058108105E-5</v>
      </c>
      <c r="S48">
        <f>ff(U47+R48/2*B48,A48)</f>
        <v>1.1093823522989599E-5</v>
      </c>
      <c r="T48">
        <f>ff(U47-1*R48*B48+S48*2*B48,A48)</f>
        <v>1.0354235288112523E-5</v>
      </c>
      <c r="U48">
        <f>U47+(1/6*R48+2/3*S48+1/3*T48)*B48</f>
        <v>0.24999512693529694</v>
      </c>
      <c r="W48">
        <f>W47+B48/24*(55*ff(W47,A48)-59*ff(W46,A48)+37*ff(W45,A48)-9*ff(W44,A48))</f>
        <v>0.249978743962704</v>
      </c>
      <c r="AA48">
        <f>A48</f>
        <v>4.4000000000000004</v>
      </c>
      <c r="AB48">
        <f>E48</f>
        <v>0.2499918332231939</v>
      </c>
      <c r="AC48">
        <f>F48</f>
        <v>0.24995078285324099</v>
      </c>
      <c r="AD48">
        <f t="shared" si="0"/>
        <v>0.24997130803821743</v>
      </c>
      <c r="AE48">
        <f t="shared" si="1"/>
        <v>0.2499757952409393</v>
      </c>
      <c r="AF48">
        <f t="shared" si="2"/>
        <v>0.24997738690325952</v>
      </c>
      <c r="AG48">
        <f t="shared" si="3"/>
        <v>0.24999512693529694</v>
      </c>
      <c r="AH48">
        <f t="shared" si="4"/>
        <v>0.249978743962704</v>
      </c>
    </row>
    <row r="49" spans="1:34" x14ac:dyDescent="0.25">
      <c r="A49">
        <f t="shared" si="7"/>
        <v>4.5</v>
      </c>
      <c r="B49">
        <f t="shared" si="10"/>
        <v>9.9999999999999645E-2</v>
      </c>
      <c r="E49">
        <f t="shared" si="11"/>
        <v>0.24999346657855512</v>
      </c>
      <c r="F49">
        <f t="shared" si="8"/>
        <v>0.24995898571103417</v>
      </c>
      <c r="H49">
        <f t="shared" si="9"/>
        <v>0.24997622614479464</v>
      </c>
      <c r="I49">
        <f>J48+B49*(ff(J48,A49))</f>
        <v>0.24998063619275143</v>
      </c>
      <c r="J49">
        <f>J48+B49*AVERAGE(ff(I49,A49),ff(J48,A49))</f>
        <v>0.24998015209757021</v>
      </c>
      <c r="L49">
        <f>ff(P48,A49)</f>
        <v>4.5226193480962795E-5</v>
      </c>
      <c r="M49">
        <f>ff(P48+L49/2*B49,A49)</f>
        <v>4.0703574132883169E-5</v>
      </c>
      <c r="N49">
        <f>ff(P48+M49/2*B49,A49)</f>
        <v>4.1155836067674478E-5</v>
      </c>
      <c r="O49">
        <f>ff(P48+N49*B49,A49)</f>
        <v>3.6995026267416797E-5</v>
      </c>
      <c r="P49">
        <f>P48+(1/6*L49+1/3*M49+1/3*N49+1/6*O49)*B49</f>
        <v>0.24998148590392869</v>
      </c>
      <c r="R49">
        <f>ff(U48,A49)</f>
        <v>9.7461294061296222E-6</v>
      </c>
      <c r="S49">
        <f>ff(U48+R49/2*B49,A49)</f>
        <v>8.7715164655000066E-6</v>
      </c>
      <c r="T49">
        <f>ff(U48-1*R49*B49+S49*2*B49,A49)</f>
        <v>8.1867487011222373E-6</v>
      </c>
      <c r="U49">
        <f>U48+(1/6*R49+2/3*S49+1/3*T49)*B49</f>
        <v>0.24999614703017478</v>
      </c>
      <c r="W49">
        <f>W48+B49/24*(55*ff(W48,A49)-59*ff(W47,A49)+37*ff(W46,A49)-9*ff(W45,A49))</f>
        <v>0.24998260553202217</v>
      </c>
      <c r="AA49">
        <f>A49</f>
        <v>4.5</v>
      </c>
      <c r="AB49">
        <f>E49</f>
        <v>0.24999346657855512</v>
      </c>
      <c r="AC49">
        <f>F49</f>
        <v>0.24995898571103417</v>
      </c>
      <c r="AD49">
        <f t="shared" si="0"/>
        <v>0.24997622614479464</v>
      </c>
      <c r="AE49">
        <f t="shared" si="1"/>
        <v>0.24998015209757021</v>
      </c>
      <c r="AF49">
        <f t="shared" si="2"/>
        <v>0.24998148590392869</v>
      </c>
      <c r="AG49">
        <f t="shared" si="3"/>
        <v>0.24999614703017478</v>
      </c>
      <c r="AH49">
        <f t="shared" si="4"/>
        <v>0.24998260553202217</v>
      </c>
    </row>
    <row r="50" spans="1:34" x14ac:dyDescent="0.25">
      <c r="A50">
        <f t="shared" si="7"/>
        <v>4.5999999999999996</v>
      </c>
      <c r="B50">
        <f t="shared" si="10"/>
        <v>9.9999999999999645E-2</v>
      </c>
      <c r="E50">
        <f t="shared" si="11"/>
        <v>0.24999477326284408</v>
      </c>
      <c r="F50">
        <f t="shared" si="8"/>
        <v>0.24996582142586179</v>
      </c>
      <c r="H50">
        <f t="shared" si="9"/>
        <v>0.24998029734435295</v>
      </c>
      <c r="I50">
        <f>J49+B50*(ff(J49,A50))</f>
        <v>0.24998412167805617</v>
      </c>
      <c r="J50">
        <f>J49+B50*AVERAGE(ff(I50,A50),ff(J49,A50))</f>
        <v>0.24998372472000757</v>
      </c>
      <c r="L50">
        <f>ff(P49,A50)</f>
        <v>3.7028192142629646E-5</v>
      </c>
      <c r="M50">
        <f>ff(P49+L50/2*B50,A50)</f>
        <v>3.3325372928383334E-5</v>
      </c>
      <c r="N50">
        <f>ff(P49+M50/2*B50,A50)</f>
        <v>3.3695654849785761E-5</v>
      </c>
      <c r="O50">
        <f>ff(P49+N50*B50,A50)</f>
        <v>3.0289061172694698E-5</v>
      </c>
      <c r="P50">
        <f>P49+(1/6*L50+1/3*M50+1/3*N50+1/6*O50)*B50</f>
        <v>0.24998484189240988</v>
      </c>
      <c r="R50">
        <f>ff(U49,A50)</f>
        <v>7.7059396504375322E-6</v>
      </c>
      <c r="S50">
        <f>ff(U49+R50/2*B50,A50)</f>
        <v>6.9353456854104323E-6</v>
      </c>
      <c r="T50">
        <f>ff(U49-1*R50*B50+S50*2*B50,A50)</f>
        <v>6.4729893063941724E-6</v>
      </c>
      <c r="U50">
        <f>U49+(1/6*R50+2/3*S50+1/3*T50)*B50</f>
        <v>0.24999695358519153</v>
      </c>
      <c r="W50">
        <f>W49+B50/24*(55*ff(W49,A50)-59*ff(W48,A50)+37*ff(W47,A50)-9*ff(W46,A50))</f>
        <v>0.24998574782131705</v>
      </c>
      <c r="AA50">
        <f>A50</f>
        <v>4.5999999999999996</v>
      </c>
      <c r="AB50">
        <f>E50</f>
        <v>0.24999477326284408</v>
      </c>
      <c r="AC50">
        <f>F50</f>
        <v>0.24996582142586179</v>
      </c>
      <c r="AD50">
        <f t="shared" si="0"/>
        <v>0.24998029734435295</v>
      </c>
      <c r="AE50">
        <f t="shared" si="1"/>
        <v>0.24998372472000757</v>
      </c>
      <c r="AF50">
        <f t="shared" si="2"/>
        <v>0.24998484189240988</v>
      </c>
      <c r="AG50">
        <f t="shared" si="3"/>
        <v>0.24999695358519153</v>
      </c>
      <c r="AH50">
        <f t="shared" si="4"/>
        <v>0.24998574782131705</v>
      </c>
    </row>
    <row r="51" spans="1:34" x14ac:dyDescent="0.25">
      <c r="A51">
        <f t="shared" si="7"/>
        <v>4.6999999999999993</v>
      </c>
      <c r="B51">
        <f t="shared" si="10"/>
        <v>9.9999999999999645E-2</v>
      </c>
      <c r="E51">
        <f t="shared" si="11"/>
        <v>0.24999581861027526</v>
      </c>
      <c r="F51">
        <f t="shared" si="8"/>
        <v>0.24997151785488481</v>
      </c>
      <c r="H51">
        <f t="shared" si="9"/>
        <v>0.24998366823258003</v>
      </c>
      <c r="I51">
        <f>J50+B51*(ff(J50,A51))</f>
        <v>0.24998697977600606</v>
      </c>
      <c r="J51">
        <f>J50+B51*AVERAGE(ff(I51,A51),ff(J50,A51))</f>
        <v>0.2499866542704062</v>
      </c>
      <c r="L51">
        <f>ff(P50,A51)</f>
        <v>3.0316215180237194E-5</v>
      </c>
      <c r="M51">
        <f>ff(P50+L51/2*B51,A51)</f>
        <v>2.728459366219127E-5</v>
      </c>
      <c r="N51">
        <f>ff(P50+M51/2*B51,A51)</f>
        <v>2.7587755814018067E-5</v>
      </c>
      <c r="O51">
        <f>ff(P50+N51*B51,A51)</f>
        <v>2.4798664017444683E-5</v>
      </c>
      <c r="P51">
        <f>P50+(1/6*L51+1/3*M51+1/3*N51+1/6*O51)*B51</f>
        <v>0.24998758955204572</v>
      </c>
      <c r="R51">
        <f>ff(U50,A51)</f>
        <v>6.0928296169437957E-6</v>
      </c>
      <c r="S51">
        <f>ff(U50+R51/2*B51,A51)</f>
        <v>5.4835466552494161E-6</v>
      </c>
      <c r="T51">
        <f>ff(U50-1*R51*B51+S51*2*B51,A51)</f>
        <v>5.1179768782438906E-6</v>
      </c>
      <c r="U51">
        <f>U50+(1/6*R51+2/3*S51+1/3*T51)*B51</f>
        <v>0.2499975913013581</v>
      </c>
      <c r="W51">
        <f>W50+B51/24*(55*ff(W50,A51)-59*ff(W49,A51)+37*ff(W48,A51)-9*ff(W47,A51))</f>
        <v>0.24998833618951391</v>
      </c>
      <c r="AA51">
        <f>A51</f>
        <v>4.6999999999999993</v>
      </c>
      <c r="AB51">
        <f>E51</f>
        <v>0.24999581861027526</v>
      </c>
      <c r="AC51">
        <f>F51</f>
        <v>0.24997151785488481</v>
      </c>
      <c r="AD51">
        <f t="shared" si="0"/>
        <v>0.24998366823258003</v>
      </c>
      <c r="AE51">
        <f t="shared" si="1"/>
        <v>0.2499866542704062</v>
      </c>
      <c r="AF51">
        <f t="shared" si="2"/>
        <v>0.24998758955204572</v>
      </c>
      <c r="AG51">
        <f t="shared" si="3"/>
        <v>0.2499975913013581</v>
      </c>
      <c r="AH51">
        <f t="shared" si="4"/>
        <v>0.24998833618951391</v>
      </c>
    </row>
    <row r="52" spans="1:34" x14ac:dyDescent="0.25">
      <c r="A52">
        <f t="shared" si="7"/>
        <v>4.7999999999999989</v>
      </c>
      <c r="B52">
        <f t="shared" si="10"/>
        <v>9.9999999999999645E-2</v>
      </c>
      <c r="E52">
        <f t="shared" si="11"/>
        <v>0.2499966548882202</v>
      </c>
      <c r="F52">
        <f t="shared" si="8"/>
        <v>0.24997626487907068</v>
      </c>
      <c r="H52">
        <f t="shared" si="9"/>
        <v>0.24998645988364543</v>
      </c>
      <c r="I52">
        <f>J51+B52*(ff(J51,A52))</f>
        <v>0.24998932341632496</v>
      </c>
      <c r="J52">
        <f>J51+B52*AVERAGE(ff(I52,A52),ff(J51,A52))</f>
        <v>0.24998905650173309</v>
      </c>
      <c r="L52">
        <f>ff(P51,A52)</f>
        <v>2.4820895908550522E-5</v>
      </c>
      <c r="M52">
        <f>ff(P51+L52/2*B52,A52)</f>
        <v>2.2338806317689919E-5</v>
      </c>
      <c r="N52">
        <f>ff(P51+M52/2*B52,A52)</f>
        <v>2.2587015276798184E-5</v>
      </c>
      <c r="O52">
        <f>ff(P51+N52*B52,A52)</f>
        <v>2.0303492853201988E-5</v>
      </c>
      <c r="P52">
        <f>P51+(1/6*L52+1/3*M52+1/3*N52+1/6*O52)*B52</f>
        <v>0.24998983915257825</v>
      </c>
      <c r="R52">
        <f>ff(U51,A52)</f>
        <v>4.8173972838072565E-6</v>
      </c>
      <c r="S52">
        <f>ff(U51+R52/2*B52,A52)</f>
        <v>4.3356575554209797E-6</v>
      </c>
      <c r="T52">
        <f>ff(U51-1*R52*B52+S52*2*B52,A52)</f>
        <v>4.0466137183892137E-6</v>
      </c>
      <c r="U52">
        <f>U51+(1/6*R52+2/3*S52+1/3*T52)*B52</f>
        <v>0.24999809552227381</v>
      </c>
      <c r="W52">
        <f>W51+B52/24*(55*ff(W51,A52)-59*ff(W50,A52)+37*ff(W49,A52)-9*ff(W48,A52))</f>
        <v>0.24999044387296354</v>
      </c>
      <c r="AA52">
        <f>A52</f>
        <v>4.7999999999999989</v>
      </c>
      <c r="AB52">
        <f>E52</f>
        <v>0.2499966548882202</v>
      </c>
      <c r="AC52">
        <f>F52</f>
        <v>0.24997626487907068</v>
      </c>
      <c r="AD52">
        <f t="shared" si="0"/>
        <v>0.24998645988364543</v>
      </c>
      <c r="AE52">
        <f t="shared" si="1"/>
        <v>0.24998905650173309</v>
      </c>
      <c r="AF52">
        <f t="shared" si="2"/>
        <v>0.24998983915257825</v>
      </c>
      <c r="AG52">
        <f t="shared" si="3"/>
        <v>0.24999809552227381</v>
      </c>
      <c r="AH52">
        <f t="shared" si="4"/>
        <v>0.24999044387296354</v>
      </c>
    </row>
    <row r="53" spans="1:34" x14ac:dyDescent="0.25">
      <c r="A53">
        <f t="shared" si="7"/>
        <v>4.8999999999999986</v>
      </c>
      <c r="B53">
        <f t="shared" si="10"/>
        <v>9.9999999999999645E-2</v>
      </c>
      <c r="E53">
        <f t="shared" si="11"/>
        <v>0.24999732391057616</v>
      </c>
      <c r="F53">
        <f t="shared" si="8"/>
        <v>0.24998022073255888</v>
      </c>
      <c r="H53">
        <f t="shared" si="9"/>
        <v>0.24998877232156752</v>
      </c>
      <c r="I53">
        <f>J52+B53*(ff(J52,A53))</f>
        <v>0.24999124520138646</v>
      </c>
      <c r="J53">
        <f>J52+B53*AVERAGE(ff(I53,A53),ff(J52,A53))</f>
        <v>0.24999102633142112</v>
      </c>
      <c r="L53">
        <f>ff(P52,A53)</f>
        <v>2.0321694843505878E-5</v>
      </c>
      <c r="M53">
        <f>ff(P52+L53/2*B53,A53)</f>
        <v>1.8289525359149739E-5</v>
      </c>
      <c r="N53">
        <f>ff(P52+M53/2*B53,A53)</f>
        <v>1.8492742307585353E-5</v>
      </c>
      <c r="O53">
        <f>ff(P52+N53*B53,A53)</f>
        <v>1.6623146382011011E-5</v>
      </c>
      <c r="P53">
        <f>P52+(1/6*L53+1/3*M53+1/3*N53+1/6*O53)*B53</f>
        <v>0.24999168097552091</v>
      </c>
      <c r="R53">
        <f>ff(U52,A53)</f>
        <v>3.8089554523779157E-6</v>
      </c>
      <c r="S53">
        <f>ff(U52+R53/2*B53,A53)</f>
        <v>3.4280599071623286E-6</v>
      </c>
      <c r="T53">
        <f>ff(U52-1*R53*B53+S53*2*B53,A53)</f>
        <v>3.1995225799885674E-6</v>
      </c>
      <c r="U53">
        <f>U52+(1/6*R53+2/3*S53+1/3*T53)*B53</f>
        <v>0.24999849419294448</v>
      </c>
      <c r="W53">
        <f>W52+B53/24*(55*ff(W52,A53)-59*ff(W51,A53)+37*ff(W50,A53)-9*ff(W49,A53))</f>
        <v>0.24999217889436182</v>
      </c>
      <c r="AA53">
        <f>A53</f>
        <v>4.8999999999999986</v>
      </c>
      <c r="AB53">
        <f>E53</f>
        <v>0.24999732391057616</v>
      </c>
      <c r="AC53">
        <f>F53</f>
        <v>0.24998022073255888</v>
      </c>
      <c r="AD53">
        <f t="shared" si="0"/>
        <v>0.24998877232156752</v>
      </c>
      <c r="AE53">
        <f t="shared" si="1"/>
        <v>0.24999102633142112</v>
      </c>
      <c r="AF53">
        <f t="shared" si="2"/>
        <v>0.24999168097552091</v>
      </c>
      <c r="AG53">
        <f t="shared" si="3"/>
        <v>0.24999849419294448</v>
      </c>
      <c r="AH53">
        <f t="shared" si="4"/>
        <v>0.24999217889436182</v>
      </c>
    </row>
    <row r="54" spans="1:34" x14ac:dyDescent="0.25">
      <c r="A54">
        <f t="shared" si="7"/>
        <v>4.9999999999999982</v>
      </c>
      <c r="B54">
        <f t="shared" si="10"/>
        <v>9.9999999999999645E-2</v>
      </c>
      <c r="E54">
        <f t="shared" si="11"/>
        <v>0.24999785912846093</v>
      </c>
      <c r="F54">
        <f t="shared" si="8"/>
        <v>0.20831685061046584</v>
      </c>
      <c r="H54">
        <f t="shared" si="9"/>
        <v>0.22915735486946337</v>
      </c>
      <c r="I54">
        <f>J53+B54*(ff(J53,A54))</f>
        <v>0.2499928210651369</v>
      </c>
      <c r="J54">
        <f>J53+B54*AVERAGE(ff(I54,A54),ff(J53,A54))</f>
        <v>0.24999264159176532</v>
      </c>
      <c r="L54">
        <f>ff(P53,A54)</f>
        <v>1.6638048958184104E-5</v>
      </c>
      <c r="M54">
        <f>ff(P53+L54/2*B54,A54)</f>
        <v>1.4974244062382347E-5</v>
      </c>
      <c r="N54">
        <f>ff(P53+M54/2*B54,A54)</f>
        <v>1.5140624551934767E-5</v>
      </c>
      <c r="O54">
        <f>ff(P53+N54*B54,A54)</f>
        <v>1.3609924047808253E-5</v>
      </c>
      <c r="P54">
        <f>P53+(1/6*L54+1/3*M54+1/3*N54+1/6*O54)*B54</f>
        <v>0.24999318893735814</v>
      </c>
      <c r="R54">
        <f>ff(U53,A54)</f>
        <v>3.0116141110370087E-6</v>
      </c>
      <c r="S54">
        <f>ff(U53+R54/2*B54,A54)</f>
        <v>2.7104526999499612E-6</v>
      </c>
      <c r="T54">
        <f>ff(U53-1*R54*B54+S54*2*B54,A54)</f>
        <v>2.5297558532977327E-6</v>
      </c>
      <c r="U54">
        <f>U53+(1/6*R54+2/3*S54+1/3*T54)*B54</f>
        <v>0.24999880940855476</v>
      </c>
      <c r="W54">
        <f>W53+B54/24*(55*ff(W53,A54)-59*ff(W52,A54)+37*ff(W51,A54)-9*ff(W50,A54))</f>
        <v>0.24999359256681838</v>
      </c>
      <c r="AA54">
        <f>A54</f>
        <v>4.9999999999999982</v>
      </c>
      <c r="AB54">
        <f>E54</f>
        <v>0.24999785912846093</v>
      </c>
      <c r="AC54">
        <f>F54</f>
        <v>0.20831685061046584</v>
      </c>
      <c r="AD54">
        <f t="shared" si="0"/>
        <v>0.22915735486946337</v>
      </c>
      <c r="AE54">
        <f t="shared" si="1"/>
        <v>0.24999264159176532</v>
      </c>
      <c r="AF54">
        <f t="shared" si="2"/>
        <v>0.24999318893735814</v>
      </c>
      <c r="AG54">
        <f t="shared" si="3"/>
        <v>0.24999880940855476</v>
      </c>
      <c r="AH54">
        <f t="shared" si="4"/>
        <v>0.24999359256681838</v>
      </c>
    </row>
    <row r="55" spans="1:34" x14ac:dyDescent="0.25">
      <c r="A55">
        <f t="shared" si="7"/>
        <v>5.0999999999999979</v>
      </c>
      <c r="B55">
        <f t="shared" si="10"/>
        <v>9.9999999999999645E-2</v>
      </c>
      <c r="E55">
        <f t="shared" si="11"/>
        <v>0.19999828730276892</v>
      </c>
      <c r="F55">
        <f t="shared" si="8"/>
        <v>0.17359737550872165</v>
      </c>
      <c r="H55">
        <f t="shared" si="9"/>
        <v>0.1867978314057453</v>
      </c>
      <c r="I55">
        <f>J54+B55*(ff(J54,A55))</f>
        <v>0.19999411327341243</v>
      </c>
      <c r="J55">
        <f>J54+B55*AVERAGE(ff(I55,A55),ff(J54,A55))</f>
        <v>0.2049939661052477</v>
      </c>
      <c r="L55">
        <f>ff(P54,A55)</f>
        <v>-0.49998637787471628</v>
      </c>
      <c r="M55">
        <f>ff(P54+L55/2*B55,A55)</f>
        <v>-0.44998774008724485</v>
      </c>
      <c r="N55">
        <f>ff(P54+M55/2*B55,A55)</f>
        <v>-0.45498760386599196</v>
      </c>
      <c r="O55">
        <f>ff(P54+N55*B55,A55)</f>
        <v>-0.40898885710151822</v>
      </c>
      <c r="P55">
        <f>P54+(1/6*L55+1/3*M55+1/3*N55+1/6*O55)*B55</f>
        <v>0.20467775688931317</v>
      </c>
      <c r="R55">
        <f>ff(U54,A55)</f>
        <v>-0.49999761881710952</v>
      </c>
      <c r="S55">
        <f>ff(U54+R55/2*B55,A55)</f>
        <v>-0.44999785693539873</v>
      </c>
      <c r="T55">
        <f>ff(U54-1*R55*B55+S55*2*B55,A55)</f>
        <v>-0.4199979998063722</v>
      </c>
      <c r="U55">
        <f>U54+(1/6*R55+2/3*S55+1/3*T55)*B55</f>
        <v>0.19766572530569745</v>
      </c>
      <c r="W55">
        <f>W54+B55/24*(55*ff(W54,A55)-59*ff(W53,A55)+37*ff(W52,A55)-9*ff(W51,A55))</f>
        <v>0.19999475561680446</v>
      </c>
      <c r="AA55">
        <f>A55</f>
        <v>5.0999999999999979</v>
      </c>
      <c r="AB55">
        <f>E55</f>
        <v>0.19999828730276892</v>
      </c>
      <c r="AC55">
        <f>F55</f>
        <v>0.17359737550872165</v>
      </c>
      <c r="AD55">
        <f t="shared" si="0"/>
        <v>0.1867978314057453</v>
      </c>
      <c r="AE55">
        <f t="shared" si="1"/>
        <v>0.2049939661052477</v>
      </c>
      <c r="AF55">
        <f t="shared" si="2"/>
        <v>0.20467775688931317</v>
      </c>
      <c r="AG55">
        <f t="shared" si="3"/>
        <v>0.19766572530569745</v>
      </c>
      <c r="AH55">
        <f t="shared" si="4"/>
        <v>0.19999475561680446</v>
      </c>
    </row>
    <row r="56" spans="1:34" x14ac:dyDescent="0.25">
      <c r="A56">
        <f t="shared" si="7"/>
        <v>5.1999999999999975</v>
      </c>
      <c r="B56">
        <f t="shared" si="10"/>
        <v>9.9999999999999645E-2</v>
      </c>
      <c r="E56">
        <f t="shared" si="11"/>
        <v>0.15999862984221527</v>
      </c>
      <c r="F56">
        <f t="shared" si="8"/>
        <v>0.14466447959060147</v>
      </c>
      <c r="H56">
        <f t="shared" si="9"/>
        <v>0.15233155471640836</v>
      </c>
      <c r="I56">
        <f>J55+B56*(ff(J55,A56))</f>
        <v>0.16399517288419829</v>
      </c>
      <c r="J56">
        <f>J55+B56*AVERAGE(ff(I56,A56),ff(J55,A56))</f>
        <v>0.16809505220630322</v>
      </c>
      <c r="L56">
        <f>ff(P55,A56)</f>
        <v>-0.40935551377862633</v>
      </c>
      <c r="M56">
        <f>ff(P55+L56/2*B56,A56)</f>
        <v>-0.36841996240076386</v>
      </c>
      <c r="N56">
        <f>ff(P55+M56/2*B56,A56)</f>
        <v>-0.37251351753855011</v>
      </c>
      <c r="O56">
        <f>ff(P55+N56*B56,A56)</f>
        <v>-0.33485281027091657</v>
      </c>
      <c r="P56">
        <f>P55+(1/6*L56+1/3*M56+1/3*N56+1/6*O56)*B56</f>
        <v>0.16757650215717712</v>
      </c>
      <c r="R56">
        <f>ff(U55,A56)</f>
        <v>-0.39533145061139491</v>
      </c>
      <c r="S56">
        <f>ff(U55+R56/2*B56,A56)</f>
        <v>-0.35579830555025554</v>
      </c>
      <c r="T56">
        <f>ff(U55-1*R56*B56+S56*2*B56,A56)</f>
        <v>-0.33207841851357189</v>
      </c>
      <c r="U56">
        <f>U55+(1/6*R56+2/3*S56+1/3*T56)*B56</f>
        <v>0.15628770014170493</v>
      </c>
      <c r="W56">
        <f>W55+B56/24*(55*ff(W55,A56)-59*ff(W54,A56)+37*ff(W53,A56)-9*ff(W52,A56))</f>
        <v>0.17291237043583227</v>
      </c>
      <c r="AA56">
        <f>A56</f>
        <v>5.1999999999999975</v>
      </c>
      <c r="AB56">
        <f>E56</f>
        <v>0.15999862984221527</v>
      </c>
      <c r="AC56">
        <f>F56</f>
        <v>0.14466447959060147</v>
      </c>
      <c r="AD56">
        <f t="shared" si="0"/>
        <v>0.15233155471640836</v>
      </c>
      <c r="AE56">
        <f t="shared" si="1"/>
        <v>0.16809505220630322</v>
      </c>
      <c r="AF56">
        <f t="shared" si="2"/>
        <v>0.16757650215717712</v>
      </c>
      <c r="AG56">
        <f t="shared" si="3"/>
        <v>0.15628770014170493</v>
      </c>
      <c r="AH56">
        <f t="shared" si="4"/>
        <v>0.17291237043583227</v>
      </c>
    </row>
    <row r="57" spans="1:34" x14ac:dyDescent="0.25">
      <c r="A57">
        <f t="shared" si="7"/>
        <v>5.2999999999999972</v>
      </c>
      <c r="B57">
        <f t="shared" si="10"/>
        <v>9.9999999999999645E-2</v>
      </c>
      <c r="E57">
        <f t="shared" si="11"/>
        <v>0.12799890387377233</v>
      </c>
      <c r="F57">
        <f t="shared" si="8"/>
        <v>0.12055373299216796</v>
      </c>
      <c r="H57">
        <f t="shared" si="9"/>
        <v>0.12427631843297014</v>
      </c>
      <c r="I57">
        <f>J56+B57*(ff(J56,A57))</f>
        <v>0.13447604176504269</v>
      </c>
      <c r="J57">
        <f>J56+B57*AVERAGE(ff(I57,A57),ff(J56,A57))</f>
        <v>0.13783794280916872</v>
      </c>
      <c r="L57">
        <f>ff(P56,A57)</f>
        <v>-0.33515300431435424</v>
      </c>
      <c r="M57">
        <f>ff(P56+L57/2*B57,A57)</f>
        <v>-0.30163770388291894</v>
      </c>
      <c r="N57">
        <f>ff(P56+M57/2*B57,A57)</f>
        <v>-0.30498923392606248</v>
      </c>
      <c r="O57">
        <f>ff(P56+N57*B57,A57)</f>
        <v>-0.27415515752914199</v>
      </c>
      <c r="P57">
        <f>P56+(1/6*L57+1/3*M57+1/3*N57+1/6*O57)*B57</f>
        <v>0.13720046819948625</v>
      </c>
      <c r="R57">
        <f>ff(U56,A57)</f>
        <v>-0.31257540028340985</v>
      </c>
      <c r="S57">
        <f>ff(U56+R57/2*B57,A57)</f>
        <v>-0.281317860255069</v>
      </c>
      <c r="T57">
        <f>ff(U56-1*R57*B57+S57*2*B57,A57)</f>
        <v>-0.26256333623806444</v>
      </c>
      <c r="U57">
        <f>U56+(1/6*R57+2/3*S57+1/3*T57)*B57</f>
        <v>0.12357147491204147</v>
      </c>
      <c r="W57">
        <f>W56+B57/24*(55*ff(W56,A57)-59*ff(W55,A57)+37*ff(W54,A57)-9*ff(W53,A57))</f>
        <v>0.13365967787331295</v>
      </c>
      <c r="AA57">
        <f>A57</f>
        <v>5.2999999999999972</v>
      </c>
      <c r="AB57">
        <f>E57</f>
        <v>0.12799890387377233</v>
      </c>
      <c r="AC57">
        <f>F57</f>
        <v>0.12055373299216796</v>
      </c>
      <c r="AD57">
        <f t="shared" si="0"/>
        <v>0.12427631843297014</v>
      </c>
      <c r="AE57">
        <f t="shared" si="1"/>
        <v>0.13783794280916872</v>
      </c>
      <c r="AF57">
        <f t="shared" si="2"/>
        <v>0.13720046819948625</v>
      </c>
      <c r="AG57">
        <f t="shared" si="3"/>
        <v>0.12357147491204147</v>
      </c>
      <c r="AH57">
        <f t="shared" si="4"/>
        <v>0.13365967787331295</v>
      </c>
    </row>
    <row r="58" spans="1:34" x14ac:dyDescent="0.25">
      <c r="A58">
        <f t="shared" si="7"/>
        <v>5.3999999999999968</v>
      </c>
      <c r="B58">
        <f t="shared" si="10"/>
        <v>9.9999999999999645E-2</v>
      </c>
      <c r="E58">
        <f t="shared" si="11"/>
        <v>0.10239912309901796</v>
      </c>
      <c r="F58">
        <f t="shared" si="8"/>
        <v>0.10046144416014002</v>
      </c>
      <c r="H58">
        <f t="shared" si="9"/>
        <v>0.10143028362957898</v>
      </c>
      <c r="I58">
        <f>J57+B58*(ff(J57,A58))</f>
        <v>0.11027035424733508</v>
      </c>
      <c r="J58">
        <f>J57+B58*AVERAGE(ff(I58,A58),ff(J57,A58))</f>
        <v>0.11302711310351843</v>
      </c>
      <c r="L58">
        <f>ff(P57,A58)</f>
        <v>-0.27440093639897251</v>
      </c>
      <c r="M58">
        <f>ff(P57+L58/2*B58,A58)</f>
        <v>-0.24696084275907534</v>
      </c>
      <c r="N58">
        <f>ff(P57+M58/2*B58,A58)</f>
        <v>-0.24970485212306506</v>
      </c>
      <c r="O58">
        <f>ff(P57+N58*B58,A58)</f>
        <v>-0.22445996597435969</v>
      </c>
      <c r="P58">
        <f>P57+(1/6*L58+1/3*M58+1/3*N58+1/6*O58)*B58</f>
        <v>0.11233059666385946</v>
      </c>
      <c r="R58">
        <f>ff(U57,A58)</f>
        <v>-0.24714294982408294</v>
      </c>
      <c r="S58">
        <f>ff(U57+R58/2*B58,A58)</f>
        <v>-0.22242865484167473</v>
      </c>
      <c r="T58">
        <f>ff(U57-1*R58*B58+S58*2*B58,A58)</f>
        <v>-0.20760007785222975</v>
      </c>
      <c r="U58">
        <f>U57+(1/6*R58+2/3*S58+1/3*T58)*B58</f>
        <v>9.7703846163787536E-2</v>
      </c>
      <c r="W58">
        <f>W57+B58/24*(55*ff(W57,A58)-59*ff(W56,A58)+37*ff(W55,A58)-9*ff(W54,A58))</f>
        <v>0.11449871077299212</v>
      </c>
      <c r="AA58">
        <f>A58</f>
        <v>5.3999999999999968</v>
      </c>
      <c r="AB58">
        <f>E58</f>
        <v>0.10239912309901796</v>
      </c>
      <c r="AC58">
        <f>F58</f>
        <v>0.10046144416014002</v>
      </c>
      <c r="AD58">
        <f t="shared" si="0"/>
        <v>0.10143028362957898</v>
      </c>
      <c r="AE58">
        <f t="shared" si="1"/>
        <v>0.11302711310351843</v>
      </c>
      <c r="AF58">
        <f t="shared" si="2"/>
        <v>0.11233059666385946</v>
      </c>
      <c r="AG58">
        <f t="shared" si="3"/>
        <v>9.7703846163787536E-2</v>
      </c>
      <c r="AH58">
        <f t="shared" si="4"/>
        <v>0.11449871077299212</v>
      </c>
    </row>
    <row r="59" spans="1:34" x14ac:dyDescent="0.25">
      <c r="A59">
        <f t="shared" si="7"/>
        <v>5.4999999999999964</v>
      </c>
      <c r="B59">
        <f t="shared" si="10"/>
        <v>9.9999999999999645E-2</v>
      </c>
      <c r="E59">
        <f t="shared" si="11"/>
        <v>8.1919298479214434E-2</v>
      </c>
      <c r="F59">
        <f t="shared" si="8"/>
        <v>8.371787013345007E-2</v>
      </c>
      <c r="H59">
        <f t="shared" si="9"/>
        <v>8.2818584306332252E-2</v>
      </c>
      <c r="I59">
        <f>J58+B59*(ff(J58,A59))</f>
        <v>9.0421690482814815E-2</v>
      </c>
      <c r="J59">
        <f>J58+B59*AVERAGE(ff(I59,A59),ff(J58,A59))</f>
        <v>9.2682232744885185E-2</v>
      </c>
      <c r="L59">
        <f>ff(P58,A59)</f>
        <v>-0.22466119332771892</v>
      </c>
      <c r="M59">
        <f>ff(P58+L59/2*B59,A59)</f>
        <v>-0.2021950739949471</v>
      </c>
      <c r="N59">
        <f>ff(P58+M59/2*B59,A59)</f>
        <v>-0.20444168592822429</v>
      </c>
      <c r="O59">
        <f>ff(P58+N59*B59,A59)</f>
        <v>-0.1837728561420742</v>
      </c>
      <c r="P59">
        <f>P58+(1/6*L59+1/3*M59+1/3*N59+1/6*O59)*B59</f>
        <v>9.1968803841923935E-2</v>
      </c>
      <c r="R59">
        <f>ff(U58,A59)</f>
        <v>-0.19540769232757507</v>
      </c>
      <c r="S59">
        <f>ff(U58+R59/2*B59,A59)</f>
        <v>-0.17586692309481763</v>
      </c>
      <c r="T59">
        <f>ff(U58-1*R59*B59+S59*2*B59,A59)</f>
        <v>-0.16414246155516315</v>
      </c>
      <c r="U59">
        <f>U58+(1/6*R59+2/3*S59+1/3*T59)*B59</f>
        <v>7.7251174366834749E-2</v>
      </c>
      <c r="W59">
        <f>W58+B59/24*(55*ff(W58,A59)-59*ff(W57,A59)+37*ff(W56,A59)-9*ff(W55,A59))</f>
        <v>8.9421102409961734E-2</v>
      </c>
      <c r="AA59">
        <f>A59</f>
        <v>5.4999999999999964</v>
      </c>
      <c r="AB59">
        <f>E59</f>
        <v>8.1919298479214434E-2</v>
      </c>
      <c r="AC59">
        <f>F59</f>
        <v>8.371787013345007E-2</v>
      </c>
      <c r="AD59">
        <f t="shared" si="0"/>
        <v>8.2818584306332252E-2</v>
      </c>
      <c r="AE59">
        <f t="shared" si="1"/>
        <v>9.2682232744885185E-2</v>
      </c>
      <c r="AF59">
        <f t="shared" si="2"/>
        <v>9.1968803841923935E-2</v>
      </c>
      <c r="AG59">
        <f t="shared" si="3"/>
        <v>7.7251174366834749E-2</v>
      </c>
      <c r="AH59">
        <f t="shared" si="4"/>
        <v>8.9421102409961734E-2</v>
      </c>
    </row>
    <row r="60" spans="1:34" x14ac:dyDescent="0.25">
      <c r="A60">
        <f t="shared" si="7"/>
        <v>5.5999999999999961</v>
      </c>
      <c r="B60">
        <f t="shared" si="10"/>
        <v>9.9999999999999645E-2</v>
      </c>
      <c r="E60">
        <f t="shared" si="11"/>
        <v>6.5535438783371605E-2</v>
      </c>
      <c r="F60">
        <f t="shared" si="8"/>
        <v>6.9764891777875093E-2</v>
      </c>
      <c r="H60">
        <f t="shared" si="9"/>
        <v>6.7650165280623342E-2</v>
      </c>
      <c r="I60">
        <f>J59+B60*(ff(J59,A60))</f>
        <v>7.4145786195908212E-2</v>
      </c>
      <c r="J60">
        <f>J59+B60*AVERAGE(ff(I60,A60),ff(J59,A60))</f>
        <v>7.5999430850805905E-2</v>
      </c>
      <c r="L60">
        <f>ff(P59,A60)</f>
        <v>-0.18393760768384787</v>
      </c>
      <c r="M60">
        <f>ff(P59+L60/2*B60,A60)</f>
        <v>-0.16554384691546314</v>
      </c>
      <c r="N60">
        <f>ff(P59+M60/2*B60,A60)</f>
        <v>-0.16738322299230163</v>
      </c>
      <c r="O60">
        <f>ff(P59+N60*B60,A60)</f>
        <v>-0.15046096308538767</v>
      </c>
      <c r="P60">
        <f>P59+(1/6*L60+1/3*M60+1/3*N60+1/6*O60)*B60</f>
        <v>7.5297925332177912E-2</v>
      </c>
      <c r="R60">
        <f>ff(U59,A60)</f>
        <v>-0.1545023487336695</v>
      </c>
      <c r="S60">
        <f>ff(U59+R60/2*B60,A60)</f>
        <v>-0.13905211386030261</v>
      </c>
      <c r="T60">
        <f>ff(U59-1*R60*B60+S60*2*B60,A60)</f>
        <v>-0.12978197293628246</v>
      </c>
      <c r="U60">
        <f>U59+(1/6*R60+2/3*S60+1/3*T60)*B60</f>
        <v>6.1079928532710728E-2</v>
      </c>
      <c r="W60">
        <f>W59+B60/24*(55*ff(W59,A60)-59*ff(W58,A60)+37*ff(W57,A60)-9*ff(W56,A60))</f>
        <v>7.6488323707199699E-2</v>
      </c>
      <c r="AA60">
        <f>A60</f>
        <v>5.5999999999999961</v>
      </c>
      <c r="AB60">
        <f>E60</f>
        <v>6.5535438783371605E-2</v>
      </c>
      <c r="AC60">
        <f>F60</f>
        <v>6.9764891777875093E-2</v>
      </c>
      <c r="AD60">
        <f t="shared" si="0"/>
        <v>6.7650165280623342E-2</v>
      </c>
      <c r="AE60">
        <f t="shared" si="1"/>
        <v>7.5999430850805905E-2</v>
      </c>
      <c r="AF60">
        <f t="shared" si="2"/>
        <v>7.5297925332177912E-2</v>
      </c>
      <c r="AG60">
        <f t="shared" si="3"/>
        <v>6.1079928532710728E-2</v>
      </c>
      <c r="AH60">
        <f t="shared" si="4"/>
        <v>7.6488323707199699E-2</v>
      </c>
    </row>
    <row r="61" spans="1:34" x14ac:dyDescent="0.25">
      <c r="A61">
        <f t="shared" si="7"/>
        <v>5.6999999999999957</v>
      </c>
      <c r="B61">
        <f t="shared" si="10"/>
        <v>9.9999999999999645E-2</v>
      </c>
      <c r="E61">
        <f t="shared" si="11"/>
        <v>5.242835102669733E-2</v>
      </c>
      <c r="F61">
        <f t="shared" si="8"/>
        <v>5.8137409814895943E-2</v>
      </c>
      <c r="H61">
        <f t="shared" si="9"/>
        <v>5.528288042079664E-2</v>
      </c>
      <c r="I61">
        <f>J60+B61*(ff(J60,A61))</f>
        <v>6.0799544680644774E-2</v>
      </c>
      <c r="J61">
        <f>J60+B61*AVERAGE(ff(I61,A61),ff(J60,A61))</f>
        <v>6.2319533297660885E-2</v>
      </c>
      <c r="L61">
        <f>ff(P60,A61)</f>
        <v>-0.15059585066435582</v>
      </c>
      <c r="M61">
        <f>ff(P60+L61/2*B61,A61)</f>
        <v>-0.13553626559792029</v>
      </c>
      <c r="N61">
        <f>ff(P60+M61/2*B61,A61)</f>
        <v>-0.13704222410456385</v>
      </c>
      <c r="O61">
        <f>ff(P60+N61*B61,A61)</f>
        <v>-0.12318740584344315</v>
      </c>
      <c r="P61">
        <f>P60+(1/6*L61+1/3*M61+1/3*N61+1/6*O61)*B61</f>
        <v>6.1648921400298512E-2</v>
      </c>
      <c r="R61">
        <f>ff(U60,A61)</f>
        <v>-0.12215985706542146</v>
      </c>
      <c r="S61">
        <f>ff(U60+R61/2*B61,A61)</f>
        <v>-0.10994387135887936</v>
      </c>
      <c r="T61">
        <f>ff(U60-1*R61*B61+S61*2*B61,A61)</f>
        <v>-0.10261427993495408</v>
      </c>
      <c r="U61">
        <f>U60+(1/6*R61+2/3*S61+1/3*T61)*B61</f>
        <v>4.8293863493196657E-2</v>
      </c>
      <c r="W61">
        <f>W60+B61/24*(55*ff(W60,A61)-59*ff(W59,A61)+37*ff(W58,A61)-9*ff(W57,A61))</f>
        <v>6.0117257378456981E-2</v>
      </c>
      <c r="AA61">
        <f>A61</f>
        <v>5.6999999999999957</v>
      </c>
      <c r="AB61">
        <f>E61</f>
        <v>5.242835102669733E-2</v>
      </c>
      <c r="AC61">
        <f>F61</f>
        <v>5.8137409814895943E-2</v>
      </c>
      <c r="AD61">
        <f t="shared" si="0"/>
        <v>5.528288042079664E-2</v>
      </c>
      <c r="AE61">
        <f t="shared" si="1"/>
        <v>6.2319533297660885E-2</v>
      </c>
      <c r="AF61">
        <f t="shared" si="2"/>
        <v>6.1648921400298512E-2</v>
      </c>
      <c r="AG61">
        <f t="shared" si="3"/>
        <v>4.8293863493196657E-2</v>
      </c>
      <c r="AH61">
        <f t="shared" si="4"/>
        <v>6.0117257378456981E-2</v>
      </c>
    </row>
    <row r="62" spans="1:34" x14ac:dyDescent="0.25">
      <c r="A62">
        <f t="shared" si="7"/>
        <v>5.7999999999999954</v>
      </c>
      <c r="B62">
        <f t="shared" si="10"/>
        <v>9.9999999999999645E-2</v>
      </c>
      <c r="E62">
        <f t="shared" si="11"/>
        <v>4.1942680821357901E-2</v>
      </c>
      <c r="F62">
        <f t="shared" si="8"/>
        <v>4.8447841512413312E-2</v>
      </c>
      <c r="H62">
        <f t="shared" si="9"/>
        <v>4.5195261166885603E-2</v>
      </c>
      <c r="I62">
        <f>J61+B62*(ff(J61,A62))</f>
        <v>4.9855626638128751E-2</v>
      </c>
      <c r="J62">
        <f>J61+B62*AVERAGE(ff(I62,A62),ff(J61,A62))</f>
        <v>5.1102017304081961E-2</v>
      </c>
      <c r="L62">
        <f>ff(P61,A62)</f>
        <v>-0.12329784280059702</v>
      </c>
      <c r="M62">
        <f>ff(P61+L62/2*B62,A62)</f>
        <v>-0.11096805852053737</v>
      </c>
      <c r="N62">
        <f>ff(P61+M62/2*B62,A62)</f>
        <v>-0.11220103694854333</v>
      </c>
      <c r="O62">
        <f>ff(P61+N62*B62,A62)</f>
        <v>-0.10085763541088844</v>
      </c>
      <c r="P62">
        <f>P61+(1/6*L62+1/3*M62+1/3*N62+1/6*O62)*B62</f>
        <v>5.0474026914471101E-2</v>
      </c>
      <c r="R62">
        <f>ff(U61,A62)</f>
        <v>-9.6587726986393313E-2</v>
      </c>
      <c r="S62">
        <f>ff(U61+R62/2*B62,A62)</f>
        <v>-8.6928954287754018E-2</v>
      </c>
      <c r="T62">
        <f>ff(U61-1*R62*B62+S62*2*B62,A62)</f>
        <v>-8.113369066857043E-2</v>
      </c>
      <c r="U62">
        <f>U61+(1/6*R62+2/3*S62+1/3*T62)*B62</f>
        <v>3.8184348068620852E-2</v>
      </c>
      <c r="W62">
        <f>W61+B62/24*(55*ff(W61,A62)-59*ff(W60,A62)+37*ff(W59,A62)-9*ff(W58,A62))</f>
        <v>5.118617030094029E-2</v>
      </c>
      <c r="AA62">
        <f>A62</f>
        <v>5.7999999999999954</v>
      </c>
      <c r="AB62">
        <f>E62</f>
        <v>4.1942680821357901E-2</v>
      </c>
      <c r="AC62">
        <f>F62</f>
        <v>4.8447841512413312E-2</v>
      </c>
      <c r="AD62">
        <f t="shared" si="0"/>
        <v>4.5195261166885603E-2</v>
      </c>
      <c r="AE62">
        <f t="shared" si="1"/>
        <v>5.1102017304081961E-2</v>
      </c>
      <c r="AF62">
        <f t="shared" si="2"/>
        <v>5.0474026914471101E-2</v>
      </c>
      <c r="AG62">
        <f t="shared" si="3"/>
        <v>3.8184348068620852E-2</v>
      </c>
      <c r="AH62">
        <f t="shared" si="4"/>
        <v>5.118617030094029E-2</v>
      </c>
    </row>
    <row r="63" spans="1:34" x14ac:dyDescent="0.25">
      <c r="A63">
        <f t="shared" si="7"/>
        <v>5.899999999999995</v>
      </c>
      <c r="B63">
        <f t="shared" si="10"/>
        <v>9.9999999999999645E-2</v>
      </c>
      <c r="E63">
        <f t="shared" si="11"/>
        <v>3.3554144657086352E-2</v>
      </c>
      <c r="F63">
        <f t="shared" si="8"/>
        <v>4.0373201260344452E-2</v>
      </c>
      <c r="H63">
        <f t="shared" si="9"/>
        <v>3.6963672958715402E-2</v>
      </c>
      <c r="I63">
        <f>J62+B63*(ff(J62,A63))</f>
        <v>4.0881613843265607E-2</v>
      </c>
      <c r="J63">
        <f>J62+B63*AVERAGE(ff(I63,A63),ff(J62,A63))</f>
        <v>4.1903654189347238E-2</v>
      </c>
      <c r="L63">
        <f>ff(P62,A63)</f>
        <v>-0.1009480538289422</v>
      </c>
      <c r="M63">
        <f>ff(P62+L63/2*B63,A63)</f>
        <v>-9.0853248446048016E-2</v>
      </c>
      <c r="N63">
        <f>ff(P62+M63/2*B63,A63)</f>
        <v>-9.1862728984337436E-2</v>
      </c>
      <c r="O63">
        <f>ff(P62+N63*B63,A63)</f>
        <v>-8.2575508032074779E-2</v>
      </c>
      <c r="P63">
        <f>P62+(1/6*L63+1/3*M63+1/3*N63+1/6*O63)*B63</f>
        <v>4.1324768302441334E-2</v>
      </c>
      <c r="R63">
        <f>ff(U62,A63)</f>
        <v>-7.6368696137241704E-2</v>
      </c>
      <c r="S63">
        <f>ff(U62+R63/2*B63,A63)</f>
        <v>-6.8731826523517559E-2</v>
      </c>
      <c r="T63">
        <f>ff(U62-1*R63*B63+S63*2*B63,A63)</f>
        <v>-6.4149704755283074E-2</v>
      </c>
      <c r="U63">
        <f>U62+(1/6*R63+2/3*S63+1/3*T63)*B63</f>
        <v>3.0191091206256244E-2</v>
      </c>
      <c r="W63">
        <f>W62+B63/24*(55*ff(W62,A63)-59*ff(W61,A63)+37*ff(W60,A63)-9*ff(W59,A63))</f>
        <v>4.0406176661777933E-2</v>
      </c>
      <c r="AA63">
        <f>A63</f>
        <v>5.899999999999995</v>
      </c>
      <c r="AB63">
        <f>E63</f>
        <v>3.3554144657086352E-2</v>
      </c>
      <c r="AC63">
        <f>F63</f>
        <v>4.0373201260344452E-2</v>
      </c>
      <c r="AD63">
        <f t="shared" si="0"/>
        <v>3.6963672958715402E-2</v>
      </c>
      <c r="AE63">
        <f t="shared" si="1"/>
        <v>4.1903654189347238E-2</v>
      </c>
      <c r="AF63">
        <f t="shared" si="2"/>
        <v>4.1324768302441334E-2</v>
      </c>
      <c r="AG63">
        <f t="shared" si="3"/>
        <v>3.0191091206256244E-2</v>
      </c>
      <c r="AH63">
        <f t="shared" si="4"/>
        <v>4.0406176661777933E-2</v>
      </c>
    </row>
    <row r="64" spans="1:34" x14ac:dyDescent="0.25">
      <c r="A64">
        <f t="shared" si="7"/>
        <v>5.9999999999999947</v>
      </c>
      <c r="B64">
        <f t="shared" si="10"/>
        <v>9.9999999999999645E-2</v>
      </c>
      <c r="E64">
        <f t="shared" si="11"/>
        <v>2.6843315725669104E-2</v>
      </c>
      <c r="F64">
        <f t="shared" si="8"/>
        <v>3.3644334383620397E-2</v>
      </c>
      <c r="H64">
        <f t="shared" si="9"/>
        <v>3.0243825054644749E-2</v>
      </c>
      <c r="I64">
        <f>J63+B64*(ff(J63,A64))</f>
        <v>3.3522923351477822E-2</v>
      </c>
      <c r="J64">
        <f>J63+B64*AVERAGE(ff(I64,A64),ff(J63,A64))</f>
        <v>3.436099643526476E-2</v>
      </c>
      <c r="L64">
        <f>ff(P63,A64)</f>
        <v>-8.2649536604882667E-2</v>
      </c>
      <c r="M64">
        <f>ff(P63+L64/2*B64,A64)</f>
        <v>-7.4384582944394428E-2</v>
      </c>
      <c r="N64">
        <f>ff(P63+M64/2*B64,A64)</f>
        <v>-7.5211078310443255E-2</v>
      </c>
      <c r="O64">
        <f>ff(P63+N64*B64,A64)</f>
        <v>-6.7607320942794064E-2</v>
      </c>
      <c r="P64">
        <f>P63+(1/6*L64+1/3*M64+1/3*N64+1/6*O64)*B64</f>
        <v>3.383396530148549E-2</v>
      </c>
      <c r="R64">
        <f>ff(U63,A64)</f>
        <v>-6.0382182412512489E-2</v>
      </c>
      <c r="S64">
        <f>ff(U63+R64/2*B64,A64)</f>
        <v>-5.4343964171261264E-2</v>
      </c>
      <c r="T64">
        <f>ff(U63-1*R64*B64+S64*2*B64,A64)</f>
        <v>-5.072103322651051E-2</v>
      </c>
      <c r="U64">
        <f>U63+(1/6*R64+2/3*S64+1/3*T64)*B64</f>
        <v>2.3871089447079958E-2</v>
      </c>
      <c r="W64">
        <f>W63+B64/24*(55*ff(W63,A64)-59*ff(W62,A64)+37*ff(W61,A64)-9*ff(W60,A64))</f>
        <v>3.4253682676107781E-2</v>
      </c>
      <c r="AA64">
        <f>A64</f>
        <v>5.9999999999999947</v>
      </c>
      <c r="AB64">
        <f>E64</f>
        <v>2.6843315725669104E-2</v>
      </c>
      <c r="AC64">
        <f>F64</f>
        <v>3.3644334383620397E-2</v>
      </c>
      <c r="AD64">
        <f t="shared" si="0"/>
        <v>3.0243825054644749E-2</v>
      </c>
      <c r="AE64">
        <f t="shared" si="1"/>
        <v>3.436099643526476E-2</v>
      </c>
      <c r="AF64">
        <f t="shared" si="2"/>
        <v>3.383396530148549E-2</v>
      </c>
      <c r="AG64">
        <f t="shared" si="3"/>
        <v>2.3871089447079958E-2</v>
      </c>
      <c r="AH64">
        <f t="shared" si="4"/>
        <v>3.4253682676107781E-2</v>
      </c>
    </row>
    <row r="65" spans="1:34" x14ac:dyDescent="0.25">
      <c r="A65">
        <f t="shared" si="7"/>
        <v>6.0999999999999943</v>
      </c>
      <c r="B65">
        <f t="shared" si="10"/>
        <v>9.9999999999999645E-2</v>
      </c>
      <c r="E65">
        <f t="shared" si="11"/>
        <v>2.1474652580535304E-2</v>
      </c>
      <c r="F65">
        <f t="shared" si="8"/>
        <v>2.8036945319683679E-2</v>
      </c>
      <c r="H65">
        <f t="shared" si="9"/>
        <v>2.4755798950109494E-2</v>
      </c>
      <c r="I65">
        <f>J64+B65*(ff(J64,A65))</f>
        <v>2.7488797148211834E-2</v>
      </c>
      <c r="J65">
        <f>J64+B65*AVERAGE(ff(I65,A65),ff(J64,A65))</f>
        <v>2.8176017076917123E-2</v>
      </c>
      <c r="L65">
        <f>ff(P64,A65)</f>
        <v>-6.766793060297098E-2</v>
      </c>
      <c r="M65">
        <f>ff(P64+L65/2*B65,A65)</f>
        <v>-6.0901137542673907E-2</v>
      </c>
      <c r="N65">
        <f>ff(P64+M65/2*B65,A65)</f>
        <v>-6.1577816848703608E-2</v>
      </c>
      <c r="O65">
        <f>ff(P64+N65*B65,A65)</f>
        <v>-5.5352367233230303E-2</v>
      </c>
      <c r="P65">
        <f>P64+(1/6*L65+1/3*M65+1/3*N65+1/6*O65)*B65</f>
        <v>2.7700995191169572E-2</v>
      </c>
      <c r="R65">
        <f>ff(U64,A65)</f>
        <v>-4.7742178894159916E-2</v>
      </c>
      <c r="S65">
        <f>ff(U64+R65/2*B65,A65)</f>
        <v>-4.296796100474394E-2</v>
      </c>
      <c r="T65">
        <f>ff(U64-1*R65*B65+S65*2*B65,A65)</f>
        <v>-4.0103430271094351E-2</v>
      </c>
      <c r="U65">
        <f>U64+(1/6*R65+2/3*S65+1/3*T65)*B65</f>
        <v>1.8874074722824569E-2</v>
      </c>
      <c r="W65">
        <f>W64+B65/24*(55*ff(W64,A65)-59*ff(W63,A65)+37*ff(W62,A65)-9*ff(W61,A65))</f>
        <v>2.7146840102193575E-2</v>
      </c>
      <c r="AA65">
        <f>A65</f>
        <v>6.0999999999999943</v>
      </c>
      <c r="AB65">
        <f>E65</f>
        <v>2.1474652580535304E-2</v>
      </c>
      <c r="AC65">
        <f>F65</f>
        <v>2.8036945319683679E-2</v>
      </c>
      <c r="AD65">
        <f t="shared" si="0"/>
        <v>2.4755798950109494E-2</v>
      </c>
      <c r="AE65">
        <f t="shared" si="1"/>
        <v>2.8176017076917123E-2</v>
      </c>
      <c r="AF65">
        <f t="shared" si="2"/>
        <v>2.7700995191169572E-2</v>
      </c>
      <c r="AG65">
        <f t="shared" si="3"/>
        <v>1.8874074722824569E-2</v>
      </c>
      <c r="AH65">
        <f t="shared" si="4"/>
        <v>2.7146840102193575E-2</v>
      </c>
    </row>
    <row r="66" spans="1:34" x14ac:dyDescent="0.25">
      <c r="A66">
        <f t="shared" si="7"/>
        <v>6.199999999999994</v>
      </c>
      <c r="B66">
        <f t="shared" si="10"/>
        <v>9.9999999999999645E-2</v>
      </c>
      <c r="E66">
        <f t="shared" si="11"/>
        <v>1.7179722064428259E-2</v>
      </c>
      <c r="F66">
        <f t="shared" si="8"/>
        <v>2.3364121099736412E-2</v>
      </c>
      <c r="H66">
        <f t="shared" si="9"/>
        <v>2.0271921582082335E-2</v>
      </c>
      <c r="I66">
        <f>J65+B66*(ff(J65,A66))</f>
        <v>2.2540813661533717E-2</v>
      </c>
      <c r="J66">
        <f>J65+B66*AVERAGE(ff(I66,A66),ff(J65,A66))</f>
        <v>2.3104334003072057E-2</v>
      </c>
      <c r="L66">
        <f>ff(P65,A66)</f>
        <v>-5.5401990382339145E-2</v>
      </c>
      <c r="M66">
        <f>ff(P65+L66/2*B66,A66)</f>
        <v>-4.9861791344105247E-2</v>
      </c>
      <c r="N66">
        <f>ff(P65+M66/2*B66,A66)</f>
        <v>-5.0415811247928641E-2</v>
      </c>
      <c r="O66">
        <f>ff(P65+N66*B66,A66)</f>
        <v>-4.5318828132753453E-2</v>
      </c>
      <c r="P66">
        <f>P65+(1/6*L66+1/3*M66+1/3*N66+1/6*O66)*B66</f>
        <v>2.2679728129516918E-2</v>
      </c>
      <c r="R66">
        <f>ff(U65,A66)</f>
        <v>-3.7748149445649137E-2</v>
      </c>
      <c r="S66">
        <f>ff(U65+R66/2*B66,A66)</f>
        <v>-3.3973334501084237E-2</v>
      </c>
      <c r="T66">
        <f>ff(U65-1*R66*B66+S66*2*B66,A66)</f>
        <v>-3.1708445534345292E-2</v>
      </c>
      <c r="U66">
        <f>U65+(1/6*R66+2/3*S66+1/3*T66)*B66</f>
        <v>1.4923101747513306E-2</v>
      </c>
      <c r="W66">
        <f>W65+B66/24*(55*ff(W65,A66)-59*ff(W64,A66)+37*ff(W63,A66)-9*ff(W62,A66))</f>
        <v>2.292632400629685E-2</v>
      </c>
      <c r="AA66">
        <f>A66</f>
        <v>6.199999999999994</v>
      </c>
      <c r="AB66">
        <f>E66</f>
        <v>1.7179722064428259E-2</v>
      </c>
      <c r="AC66">
        <f>F66</f>
        <v>2.3364121099736412E-2</v>
      </c>
      <c r="AD66">
        <f t="shared" si="0"/>
        <v>2.0271921582082335E-2</v>
      </c>
      <c r="AE66">
        <f t="shared" si="1"/>
        <v>2.3104334003072057E-2</v>
      </c>
      <c r="AF66">
        <f t="shared" si="2"/>
        <v>2.2679728129516918E-2</v>
      </c>
      <c r="AG66">
        <f t="shared" si="3"/>
        <v>1.4923101747513306E-2</v>
      </c>
      <c r="AH66">
        <f t="shared" si="4"/>
        <v>2.292632400629685E-2</v>
      </c>
    </row>
    <row r="67" spans="1:34" x14ac:dyDescent="0.25">
      <c r="A67">
        <f t="shared" si="7"/>
        <v>6.2999999999999936</v>
      </c>
      <c r="B67">
        <f t="shared" si="10"/>
        <v>9.9999999999999645E-2</v>
      </c>
      <c r="E67">
        <f t="shared" si="11"/>
        <v>1.3743777651542621E-2</v>
      </c>
      <c r="F67">
        <f t="shared" si="8"/>
        <v>1.947010091644702E-2</v>
      </c>
      <c r="H67">
        <f t="shared" si="9"/>
        <v>1.6606939283994822E-2</v>
      </c>
      <c r="I67">
        <f>J66+B67*(ff(J66,A67))</f>
        <v>1.8483467202457662E-2</v>
      </c>
      <c r="J67">
        <f>J66+B67*AVERAGE(ff(I67,A67),ff(J66,A67))</f>
        <v>1.89455538825191E-2</v>
      </c>
      <c r="L67">
        <f>ff(P66,A67)</f>
        <v>-4.5359456259033835E-2</v>
      </c>
      <c r="M67">
        <f>ff(P66+L67/2*B67,A67)</f>
        <v>-4.0823510633130465E-2</v>
      </c>
      <c r="N67">
        <f>ff(P66+M67/2*B67,A67)</f>
        <v>-4.1277105195720802E-2</v>
      </c>
      <c r="O67">
        <f>ff(P66+N67*B67,A67)</f>
        <v>-3.7104035219889704E-2</v>
      </c>
      <c r="P67">
        <f>P66+(1/6*L67+1/3*M67+1/3*N67+1/6*O67)*B67</f>
        <v>1.8568649410573165E-2</v>
      </c>
      <c r="R67">
        <f>ff(U66,A67)</f>
        <v>-2.9846203495026612E-2</v>
      </c>
      <c r="S67">
        <f>ff(U66+R67/2*B67,A67)</f>
        <v>-2.6861583145523962E-2</v>
      </c>
      <c r="T67">
        <f>ff(U66-1*R67*B67+S67*2*B67,A67)</f>
        <v>-2.5070810935822363E-2</v>
      </c>
      <c r="U67">
        <f>U66+(1/6*R67+2/3*S67+1/3*T67)*B67</f>
        <v>1.1799199115033864E-2</v>
      </c>
      <c r="W67">
        <f>W66+B67/24*(55*ff(W66,A67)-59*ff(W65,A67)+37*ff(W64,A67)-9*ff(W63,A67))</f>
        <v>1.8234532978156099E-2</v>
      </c>
      <c r="AA67">
        <f>A67</f>
        <v>6.2999999999999936</v>
      </c>
      <c r="AB67">
        <f>E67</f>
        <v>1.3743777651542621E-2</v>
      </c>
      <c r="AC67">
        <f>F67</f>
        <v>1.947010091644702E-2</v>
      </c>
      <c r="AD67">
        <f t="shared" si="0"/>
        <v>1.6606939283994822E-2</v>
      </c>
      <c r="AE67">
        <f t="shared" si="1"/>
        <v>1.89455538825191E-2</v>
      </c>
      <c r="AF67">
        <f t="shared" si="2"/>
        <v>1.8568649410573165E-2</v>
      </c>
      <c r="AG67">
        <f t="shared" si="3"/>
        <v>1.1799199115033864E-2</v>
      </c>
      <c r="AH67">
        <f t="shared" si="4"/>
        <v>1.8234532978156099E-2</v>
      </c>
    </row>
    <row r="68" spans="1:34" x14ac:dyDescent="0.25">
      <c r="A68">
        <f t="shared" si="7"/>
        <v>6.3999999999999932</v>
      </c>
      <c r="B68">
        <f t="shared" si="10"/>
        <v>9.9999999999999645E-2</v>
      </c>
      <c r="E68">
        <f t="shared" si="11"/>
        <v>1.0995022121234106E-2</v>
      </c>
      <c r="F68">
        <f t="shared" si="8"/>
        <v>1.6225084097039193E-2</v>
      </c>
      <c r="H68">
        <f t="shared" si="9"/>
        <v>1.361005310913665E-2</v>
      </c>
      <c r="I68">
        <f>J67+B68*(ff(J67,A68))</f>
        <v>1.5156443106015292E-2</v>
      </c>
      <c r="J68">
        <f>J67+B68*AVERAGE(ff(I68,A68),ff(J67,A68))</f>
        <v>1.5535354183665674E-2</v>
      </c>
      <c r="L68">
        <f>ff(P67,A68)</f>
        <v>-3.7137298821146331E-2</v>
      </c>
      <c r="M68">
        <f>ff(P67+L68/2*B68,A68)</f>
        <v>-3.3423568939031714E-2</v>
      </c>
      <c r="N68">
        <f>ff(P67+M68/2*B68,A68)</f>
        <v>-3.3794941927243173E-2</v>
      </c>
      <c r="O68">
        <f>ff(P67+N68*B68,A68)</f>
        <v>-3.037831043569772E-2</v>
      </c>
      <c r="P68">
        <f>P67+(1/6*L68+1/3*M68+1/3*N68+1/6*O68)*B68</f>
        <v>1.5202772227416613E-2</v>
      </c>
      <c r="R68">
        <f>ff(U67,A68)</f>
        <v>-2.3598398230067728E-2</v>
      </c>
      <c r="S68">
        <f>ff(U67+R68/2*B68,A68)</f>
        <v>-2.1238558407060962E-2</v>
      </c>
      <c r="T68">
        <f>ff(U67-1*R68*B68+S68*2*B68,A68)</f>
        <v>-1.9822654513256904E-2</v>
      </c>
      <c r="U68">
        <f>U67+(1/6*R68+2/3*S68+1/3*T68)*B68</f>
        <v>9.3292334336201165E-3</v>
      </c>
      <c r="W68">
        <f>W67+B68/24*(55*ff(W67,A68)-59*ff(W66,A68)+37*ff(W65,A68)-9*ff(W64,A68))</f>
        <v>1.534789850212891E-2</v>
      </c>
      <c r="AA68">
        <f>A68</f>
        <v>6.3999999999999932</v>
      </c>
      <c r="AB68">
        <f>E68</f>
        <v>1.0995022121234106E-2</v>
      </c>
      <c r="AC68">
        <f>F68</f>
        <v>1.6225084097039193E-2</v>
      </c>
      <c r="AD68">
        <f t="shared" ref="AD68:AD104" si="12">H68</f>
        <v>1.361005310913665E-2</v>
      </c>
      <c r="AE68">
        <f t="shared" ref="AE68:AE104" si="13">J68</f>
        <v>1.5535354183665674E-2</v>
      </c>
      <c r="AF68">
        <f t="shared" ref="AF68:AF104" si="14">P68</f>
        <v>1.5202772227416613E-2</v>
      </c>
      <c r="AG68">
        <f t="shared" ref="AG68:AG104" si="15">U68</f>
        <v>9.3292334336201165E-3</v>
      </c>
      <c r="AH68">
        <f t="shared" ref="AH68:AH104" si="16">W68</f>
        <v>1.534789850212891E-2</v>
      </c>
    </row>
    <row r="69" spans="1:34" x14ac:dyDescent="0.25">
      <c r="A69">
        <f t="shared" si="7"/>
        <v>6.4999999999999929</v>
      </c>
      <c r="B69">
        <f t="shared" si="10"/>
        <v>9.9999999999999645E-2</v>
      </c>
      <c r="E69">
        <f t="shared" si="11"/>
        <v>8.7960176969872923E-3</v>
      </c>
      <c r="F69">
        <f t="shared" si="8"/>
        <v>1.3520903414199335E-2</v>
      </c>
      <c r="H69">
        <f t="shared" si="9"/>
        <v>1.1158460555593313E-2</v>
      </c>
      <c r="I69">
        <f>J68+B69*(ff(J68,A69))</f>
        <v>1.242828334693255E-2</v>
      </c>
      <c r="J69">
        <f>J68+B69*AVERAGE(ff(I69,A69),ff(J68,A69))</f>
        <v>1.2738990430605862E-2</v>
      </c>
      <c r="L69">
        <f>ff(P68,A69)</f>
        <v>-3.0405544454833226E-2</v>
      </c>
      <c r="M69">
        <f>ff(P68+L69/2*B69,A69)</f>
        <v>-2.7364990009349915E-2</v>
      </c>
      <c r="N69">
        <f>ff(P68+M69/2*B69,A69)</f>
        <v>-2.7669045453898245E-2</v>
      </c>
      <c r="O69">
        <f>ff(P68+N69*B69,A69)</f>
        <v>-2.4871735364053599E-2</v>
      </c>
      <c r="P69">
        <f>P68+(1/6*L69+1/3*M69+1/3*N69+1/6*O69)*B69</f>
        <v>1.2447016381660236E-2</v>
      </c>
      <c r="R69">
        <f>ff(U68,A69)</f>
        <v>-1.8658466867240233E-2</v>
      </c>
      <c r="S69">
        <f>ff(U68+R69/2*B69,A69)</f>
        <v>-1.6792620180516218E-2</v>
      </c>
      <c r="T69">
        <f>ff(U68-1*R69*B69+S69*2*B69,A69)</f>
        <v>-1.5673112168481804E-2</v>
      </c>
      <c r="U69">
        <f>U68+(1/6*R69+2/3*S69+1/3*T69)*B69</f>
        <v>7.3763139015156449E-3</v>
      </c>
      <c r="W69">
        <f>W68+B69/24*(55*ff(W68,A69)-59*ff(W67,A69)+37*ff(W66,A69)-9*ff(W65,A69))</f>
        <v>1.2245820175302909E-2</v>
      </c>
      <c r="AA69">
        <f>A69</f>
        <v>6.4999999999999929</v>
      </c>
      <c r="AB69">
        <f>E69</f>
        <v>8.7960176969872923E-3</v>
      </c>
      <c r="AC69">
        <f>F69</f>
        <v>1.3520903414199335E-2</v>
      </c>
      <c r="AD69">
        <f t="shared" si="12"/>
        <v>1.1158460555593313E-2</v>
      </c>
      <c r="AE69">
        <f t="shared" si="13"/>
        <v>1.2738990430605862E-2</v>
      </c>
      <c r="AF69">
        <f t="shared" si="14"/>
        <v>1.2447016381660236E-2</v>
      </c>
      <c r="AG69">
        <f t="shared" si="15"/>
        <v>7.3763139015156449E-3</v>
      </c>
      <c r="AH69">
        <f t="shared" si="16"/>
        <v>1.2245820175302909E-2</v>
      </c>
    </row>
    <row r="70" spans="1:34" x14ac:dyDescent="0.25">
      <c r="A70">
        <f t="shared" ref="A70:A104" si="17">A69+0.1</f>
        <v>6.5999999999999925</v>
      </c>
      <c r="B70">
        <f t="shared" si="10"/>
        <v>9.9999999999999645E-2</v>
      </c>
      <c r="E70">
        <f t="shared" si="11"/>
        <v>7.0368141575898402E-3</v>
      </c>
      <c r="F70">
        <f t="shared" ref="F70:F104" si="18">IF(A70&lt;5,(F69+0.5*B70)/(2*B70+1),(F69)/(2*B70+1) )</f>
        <v>1.1267419511832787E-2</v>
      </c>
      <c r="H70">
        <f t="shared" ref="H70:H104" si="19">AVERAGE(F70,E70)</f>
        <v>9.152116834711314E-3</v>
      </c>
      <c r="I70">
        <f>J69+B70*(ff(J69,A70))</f>
        <v>1.0191192344484699E-2</v>
      </c>
      <c r="J70">
        <f>J69+B70*AVERAGE(ff(I70,A70),ff(J69,A70))</f>
        <v>1.0445972153096814E-2</v>
      </c>
      <c r="L70">
        <f>ff(P69,A70)</f>
        <v>-2.4894032763320473E-2</v>
      </c>
      <c r="M70">
        <f>ff(P69+L70/2*B70,A70)</f>
        <v>-2.2404629486988435E-2</v>
      </c>
      <c r="N70">
        <f>ff(P69+M70/2*B70,A70)</f>
        <v>-2.2653569814621636E-2</v>
      </c>
      <c r="O70">
        <f>ff(P69+N70*B70,A70)</f>
        <v>-2.0363318800396161E-2</v>
      </c>
      <c r="P70">
        <f>P69+(1/6*L70+1/3*M70+1/3*N70+1/6*O70)*B70</f>
        <v>1.0190787212211299E-2</v>
      </c>
      <c r="R70">
        <f>ff(U69,A70)</f>
        <v>-1.475262780303129E-2</v>
      </c>
      <c r="S70">
        <f>ff(U69+R70/2*B70,A70)</f>
        <v>-1.3277365022728166E-2</v>
      </c>
      <c r="T70">
        <f>ff(U69-1*R70*B70+S70*2*B70,A70)</f>
        <v>-1.2392207354546289E-2</v>
      </c>
      <c r="U70">
        <f>U69+(1/6*R70+2/3*S70+1/3*T70)*B70</f>
        <v>5.8322055247983749E-3</v>
      </c>
      <c r="W70">
        <f>W69+B70/24*(55*ff(W69,A70)-59*ff(W68,A70)+37*ff(W67,A70)-9*ff(W66,A70))</f>
        <v>1.0276362657376597E-2</v>
      </c>
      <c r="AA70">
        <f>A70</f>
        <v>6.5999999999999925</v>
      </c>
      <c r="AB70">
        <f>E70</f>
        <v>7.0368141575898402E-3</v>
      </c>
      <c r="AC70">
        <f>F70</f>
        <v>1.1267419511832787E-2</v>
      </c>
      <c r="AD70">
        <f t="shared" si="12"/>
        <v>9.152116834711314E-3</v>
      </c>
      <c r="AE70">
        <f t="shared" si="13"/>
        <v>1.0445972153096814E-2</v>
      </c>
      <c r="AF70">
        <f t="shared" si="14"/>
        <v>1.0190787212211299E-2</v>
      </c>
      <c r="AG70">
        <f t="shared" si="15"/>
        <v>5.8322055247983749E-3</v>
      </c>
      <c r="AH70">
        <f t="shared" si="16"/>
        <v>1.0276362657376597E-2</v>
      </c>
    </row>
    <row r="71" spans="1:34" x14ac:dyDescent="0.25">
      <c r="A71">
        <f t="shared" si="17"/>
        <v>6.6999999999999922</v>
      </c>
      <c r="B71">
        <f t="shared" si="10"/>
        <v>9.9999999999999645E-2</v>
      </c>
      <c r="E71">
        <f t="shared" si="11"/>
        <v>5.6294513260718767E-3</v>
      </c>
      <c r="F71">
        <f t="shared" si="18"/>
        <v>9.3895162598606613E-3</v>
      </c>
      <c r="H71">
        <f t="shared" si="19"/>
        <v>7.509483792966269E-3</v>
      </c>
      <c r="I71">
        <f>J70+B71*(ff(J70,A71))</f>
        <v>8.3567777224774591E-3</v>
      </c>
      <c r="J71">
        <f>J70+B71*AVERAGE(ff(I71,A71),ff(J70,A71))</f>
        <v>8.5656971655393935E-3</v>
      </c>
      <c r="L71">
        <f>ff(P70,A71)</f>
        <v>-2.0381574424422597E-2</v>
      </c>
      <c r="M71">
        <f>ff(P70+L71/2*B71,A71)</f>
        <v>-1.8343416981980346E-2</v>
      </c>
      <c r="N71">
        <f>ff(P70+M71/2*B71,A71)</f>
        <v>-1.854723272622457E-2</v>
      </c>
      <c r="O71">
        <f>ff(P70+N71*B71,A71)</f>
        <v>-1.6672127879177698E-2</v>
      </c>
      <c r="P71">
        <f>P70+(1/6*L71+1/3*M71+1/3*N71+1/6*O71)*B71</f>
        <v>8.3435371835444694E-3</v>
      </c>
      <c r="R71">
        <f>ff(U70,A71)</f>
        <v>-1.166441104959675E-2</v>
      </c>
      <c r="S71">
        <f>ff(U70+R71/2*B71,A71)</f>
        <v>-1.049796994463708E-2</v>
      </c>
      <c r="T71">
        <f>ff(U70-1*R71*B71+S71*2*B71,A71)</f>
        <v>-9.7981052816612756E-3</v>
      </c>
      <c r="U71">
        <f>U70+(1/6*R71+2/3*S71+1/3*T71)*B71</f>
        <v>4.6113305016072526E-3</v>
      </c>
      <c r="W71">
        <f>W70+B71/24*(55*ff(W70,A71)-59*ff(W69,A71)+37*ff(W68,A71)-9*ff(W67,A71))</f>
        <v>8.2225459608082207E-3</v>
      </c>
      <c r="AA71">
        <f>A71</f>
        <v>6.6999999999999922</v>
      </c>
      <c r="AB71">
        <f>E71</f>
        <v>5.6294513260718767E-3</v>
      </c>
      <c r="AC71">
        <f>F71</f>
        <v>9.3895162598606613E-3</v>
      </c>
      <c r="AD71">
        <f t="shared" si="12"/>
        <v>7.509483792966269E-3</v>
      </c>
      <c r="AE71">
        <f t="shared" si="13"/>
        <v>8.5656971655393935E-3</v>
      </c>
      <c r="AF71">
        <f t="shared" si="14"/>
        <v>8.3435371835444694E-3</v>
      </c>
      <c r="AG71">
        <f t="shared" si="15"/>
        <v>4.6113305016072526E-3</v>
      </c>
      <c r="AH71">
        <f t="shared" si="16"/>
        <v>8.2225459608082207E-3</v>
      </c>
    </row>
    <row r="72" spans="1:34" x14ac:dyDescent="0.25">
      <c r="A72">
        <f t="shared" si="17"/>
        <v>6.7999999999999918</v>
      </c>
      <c r="B72">
        <f t="shared" si="10"/>
        <v>9.9999999999999645E-2</v>
      </c>
      <c r="E72">
        <f t="shared" si="11"/>
        <v>4.5035610608575053E-3</v>
      </c>
      <c r="F72">
        <f t="shared" si="18"/>
        <v>7.824596883217223E-3</v>
      </c>
      <c r="H72">
        <f t="shared" si="19"/>
        <v>6.1640789720373637E-3</v>
      </c>
      <c r="I72">
        <f>J71+B72*(ff(J71,A72))</f>
        <v>6.8525577324315204E-3</v>
      </c>
      <c r="J72">
        <f>J71+B72*AVERAGE(ff(I72,A72),ff(J71,A72))</f>
        <v>7.0238716757423077E-3</v>
      </c>
      <c r="L72">
        <f>ff(P71,A72)</f>
        <v>-1.6687074367088939E-2</v>
      </c>
      <c r="M72">
        <f>ff(P71+L72/2*B72,A72)</f>
        <v>-1.5018366930380051E-2</v>
      </c>
      <c r="N72">
        <f>ff(P71+M72/2*B72,A72)</f>
        <v>-1.5185237674050939E-2</v>
      </c>
      <c r="O72">
        <f>ff(P71+N72*B72,A72)</f>
        <v>-1.3650026832278762E-2</v>
      </c>
      <c r="P72">
        <f>P71+(1/6*L72+1/3*M72+1/3*N72+1/6*O72)*B72</f>
        <v>6.83113201007398E-3</v>
      </c>
      <c r="R72">
        <f>ff(U71,A72)</f>
        <v>-9.2226610032145051E-3</v>
      </c>
      <c r="S72">
        <f>ff(U71+R72/2*B72,A72)</f>
        <v>-8.3003949028930581E-3</v>
      </c>
      <c r="T72">
        <f>ff(U71-1*R72*B72+S72*2*B72,A72)</f>
        <v>-7.7470352427001874E-3</v>
      </c>
      <c r="U72">
        <f>U71+(1/6*R72+2/3*S72+1/3*T72)*B72</f>
        <v>3.6460253166041377E-3</v>
      </c>
      <c r="W72">
        <f>W71+B72/24*(55*ff(W71,A72)-59*ff(W70,A72)+37*ff(W69,A72)-9*ff(W68,A72))</f>
        <v>6.8817218689225558E-3</v>
      </c>
      <c r="AA72">
        <f>A72</f>
        <v>6.7999999999999918</v>
      </c>
      <c r="AB72">
        <f>E72</f>
        <v>4.5035610608575053E-3</v>
      </c>
      <c r="AC72">
        <f>F72</f>
        <v>7.824596883217223E-3</v>
      </c>
      <c r="AD72">
        <f t="shared" si="12"/>
        <v>6.1640789720373637E-3</v>
      </c>
      <c r="AE72">
        <f t="shared" si="13"/>
        <v>7.0238716757423077E-3</v>
      </c>
      <c r="AF72">
        <f t="shared" si="14"/>
        <v>6.83113201007398E-3</v>
      </c>
      <c r="AG72">
        <f t="shared" si="15"/>
        <v>3.6460253166041377E-3</v>
      </c>
      <c r="AH72">
        <f t="shared" si="16"/>
        <v>6.8817218689225558E-3</v>
      </c>
    </row>
    <row r="73" spans="1:34" x14ac:dyDescent="0.25">
      <c r="A73">
        <f t="shared" si="17"/>
        <v>6.8999999999999915</v>
      </c>
      <c r="B73">
        <f t="shared" si="10"/>
        <v>9.9999999999999645E-2</v>
      </c>
      <c r="E73">
        <f t="shared" si="11"/>
        <v>3.6028488486860074E-3</v>
      </c>
      <c r="F73">
        <f t="shared" si="18"/>
        <v>6.5204974026810232E-3</v>
      </c>
      <c r="H73">
        <f t="shared" si="19"/>
        <v>5.0616731256835149E-3</v>
      </c>
      <c r="I73">
        <f>J72+B73*(ff(J72,A73))</f>
        <v>5.6190973405938508E-3</v>
      </c>
      <c r="J73">
        <f>J72+B73*AVERAGE(ff(I73,A73),ff(J72,A73))</f>
        <v>5.7595747741086964E-3</v>
      </c>
      <c r="L73">
        <f>ff(P72,A73)</f>
        <v>-1.366226402014796E-2</v>
      </c>
      <c r="M73">
        <f>ff(P72+L73/2*B73,A73)</f>
        <v>-1.2296037618133169E-2</v>
      </c>
      <c r="N73">
        <f>ff(P72+M73/2*B73,A73)</f>
        <v>-1.2432660258334647E-2</v>
      </c>
      <c r="O73">
        <f>ff(P72+N73*B73,A73)</f>
        <v>-1.117573196848104E-2</v>
      </c>
      <c r="P73">
        <f>P72+(1/6*L73+1/3*M73+1/3*N73+1/6*O73)*B73</f>
        <v>5.592875481047907E-3</v>
      </c>
      <c r="R73">
        <f>ff(U72,A73)</f>
        <v>-7.2920506332082753E-3</v>
      </c>
      <c r="S73">
        <f>ff(U72+R73/2*B73,A73)</f>
        <v>-6.56284556988745E-3</v>
      </c>
      <c r="T73">
        <f>ff(U72-1*R73*B73+S73*2*B73,A73)</f>
        <v>-6.125322531894955E-3</v>
      </c>
      <c r="U73">
        <f>U72+(1/6*R73+2/3*S73+1/3*T73)*B73</f>
        <v>2.8827906836616738E-3</v>
      </c>
      <c r="W73">
        <f>W72+B73/24*(55*ff(W72,A73)-59*ff(W71,A73)+37*ff(W70,A73)-9*ff(W69,A73))</f>
        <v>5.5202424701870324E-3</v>
      </c>
      <c r="AA73">
        <f>A73</f>
        <v>6.8999999999999915</v>
      </c>
      <c r="AB73">
        <f>E73</f>
        <v>3.6028488486860074E-3</v>
      </c>
      <c r="AC73">
        <f>F73</f>
        <v>6.5204974026810232E-3</v>
      </c>
      <c r="AD73">
        <f t="shared" si="12"/>
        <v>5.0616731256835149E-3</v>
      </c>
      <c r="AE73">
        <f t="shared" si="13"/>
        <v>5.7595747741086964E-3</v>
      </c>
      <c r="AF73">
        <f t="shared" si="14"/>
        <v>5.592875481047907E-3</v>
      </c>
      <c r="AG73">
        <f t="shared" si="15"/>
        <v>2.8827906836616738E-3</v>
      </c>
      <c r="AH73">
        <f t="shared" si="16"/>
        <v>5.5202424701870324E-3</v>
      </c>
    </row>
    <row r="74" spans="1:34" x14ac:dyDescent="0.25">
      <c r="A74">
        <f t="shared" si="17"/>
        <v>6.9999999999999911</v>
      </c>
      <c r="B74">
        <f t="shared" si="10"/>
        <v>9.9999999999999645E-2</v>
      </c>
      <c r="E74">
        <f t="shared" si="11"/>
        <v>2.8822790789488086E-3</v>
      </c>
      <c r="F74">
        <f t="shared" si="18"/>
        <v>5.4337478355675223E-3</v>
      </c>
      <c r="H74">
        <f t="shared" si="19"/>
        <v>4.1580134572581657E-3</v>
      </c>
      <c r="I74">
        <f>J73+B74*(ff(J73,A74))</f>
        <v>4.6076598192869613E-3</v>
      </c>
      <c r="J74">
        <f>J73+B74*AVERAGE(ff(I74,A74),ff(J73,A74))</f>
        <v>4.7228513147691345E-3</v>
      </c>
      <c r="L74">
        <f>ff(P73,A74)</f>
        <v>-1.1185750962095814E-2</v>
      </c>
      <c r="M74">
        <f>ff(P73+L74/2*B74,A74)</f>
        <v>-1.0067175865886237E-2</v>
      </c>
      <c r="N74">
        <f>ff(P73+M74/2*B74,A74)</f>
        <v>-1.0179033375507194E-2</v>
      </c>
      <c r="O74">
        <f>ff(P73+N74*B74,A74)</f>
        <v>-9.1499442869943833E-3</v>
      </c>
      <c r="P74">
        <f>P73+(1/6*L74+1/3*M74+1/3*N74+1/6*O74)*B74</f>
        <v>4.579073585516626E-3</v>
      </c>
      <c r="R74">
        <f>ff(U73,A74)</f>
        <v>-5.7655813673233476E-3</v>
      </c>
      <c r="S74">
        <f>ff(U73+R74/2*B74,A74)</f>
        <v>-5.1890232305910151E-3</v>
      </c>
      <c r="T74">
        <f>ff(U73-1*R74*B74+S74*2*B74,A74)</f>
        <v>-4.8430883485516135E-3</v>
      </c>
      <c r="U74">
        <f>U73+(1/6*R74+2/3*S74+1/3*T74)*B74</f>
        <v>2.2793265005484988E-3</v>
      </c>
      <c r="W74">
        <f>W73+B74/24*(55*ff(W73,A74)-59*ff(W72,A74)+37*ff(W71,A74)-9*ff(W70,A74))</f>
        <v>4.609086784958946E-3</v>
      </c>
      <c r="AA74">
        <f>A74</f>
        <v>6.9999999999999911</v>
      </c>
      <c r="AB74">
        <f>E74</f>
        <v>2.8822790789488086E-3</v>
      </c>
      <c r="AC74">
        <f>F74</f>
        <v>5.4337478355675223E-3</v>
      </c>
      <c r="AD74">
        <f t="shared" si="12"/>
        <v>4.1580134572581657E-3</v>
      </c>
      <c r="AE74">
        <f t="shared" si="13"/>
        <v>4.7228513147691345E-3</v>
      </c>
      <c r="AF74">
        <f t="shared" si="14"/>
        <v>4.579073585516626E-3</v>
      </c>
      <c r="AG74">
        <f t="shared" si="15"/>
        <v>2.2793265005484988E-3</v>
      </c>
      <c r="AH74">
        <f t="shared" si="16"/>
        <v>4.609086784958946E-3</v>
      </c>
    </row>
    <row r="75" spans="1:34" x14ac:dyDescent="0.25">
      <c r="A75">
        <f t="shared" si="17"/>
        <v>7.0999999999999908</v>
      </c>
      <c r="B75">
        <f t="shared" si="10"/>
        <v>9.9999999999999645E-2</v>
      </c>
      <c r="E75">
        <f t="shared" si="11"/>
        <v>2.3058232631590491E-3</v>
      </c>
      <c r="F75">
        <f t="shared" si="18"/>
        <v>4.5281231963062709E-3</v>
      </c>
      <c r="H75">
        <f t="shared" si="19"/>
        <v>3.4169732297326602E-3</v>
      </c>
      <c r="I75">
        <f>J74+B75*(ff(J74,A75))</f>
        <v>3.7782810518153108E-3</v>
      </c>
      <c r="J75">
        <f>J74+B75*AVERAGE(ff(I75,A75),ff(J74,A75))</f>
        <v>3.872738078110693E-3</v>
      </c>
      <c r="L75">
        <f>ff(P74,A75)</f>
        <v>-9.158147171033252E-3</v>
      </c>
      <c r="M75">
        <f>ff(P74+L75/2*B75,A75)</f>
        <v>-8.2423324539299299E-3</v>
      </c>
      <c r="N75">
        <f>ff(P74+M75/2*B75,A75)</f>
        <v>-8.3339139256402624E-3</v>
      </c>
      <c r="O75">
        <f>ff(P74+N75*B75,A75)</f>
        <v>-7.4913643859052057E-3</v>
      </c>
      <c r="P75">
        <f>P74+(1/6*L75+1/3*M75+1/3*N75+1/6*O75)*B75</f>
        <v>3.7490401802486484E-3</v>
      </c>
      <c r="R75">
        <f>ff(U74,A75)</f>
        <v>-4.5586530010969977E-3</v>
      </c>
      <c r="S75">
        <f>ff(U74+R75/2*B75,A75)</f>
        <v>-4.1027877009872996E-3</v>
      </c>
      <c r="T75">
        <f>ff(U74-1*R75*B75+S75*2*B75,A75)</f>
        <v>-3.8292685209214798E-3</v>
      </c>
      <c r="U75">
        <f>U74+(1/6*R75+2/3*S75+1/3*T75)*B75</f>
        <v>1.8021874864336813E-3</v>
      </c>
      <c r="W75">
        <f>W74+B75/24*(55*ff(W74,A75)-59*ff(W73,A75)+37*ff(W72,A75)-9*ff(W71,A75))</f>
        <v>3.705534593837552E-3</v>
      </c>
      <c r="AA75">
        <f>A75</f>
        <v>7.0999999999999908</v>
      </c>
      <c r="AB75">
        <f>E75</f>
        <v>2.3058232631590491E-3</v>
      </c>
      <c r="AC75">
        <f>F75</f>
        <v>4.5281231963062709E-3</v>
      </c>
      <c r="AD75">
        <f t="shared" si="12"/>
        <v>3.4169732297326602E-3</v>
      </c>
      <c r="AE75">
        <f t="shared" si="13"/>
        <v>3.872738078110693E-3</v>
      </c>
      <c r="AF75">
        <f t="shared" si="14"/>
        <v>3.7490401802486484E-3</v>
      </c>
      <c r="AG75">
        <f t="shared" si="15"/>
        <v>1.8021874864336813E-3</v>
      </c>
      <c r="AH75">
        <f t="shared" si="16"/>
        <v>3.705534593837552E-3</v>
      </c>
    </row>
    <row r="76" spans="1:34" x14ac:dyDescent="0.25">
      <c r="A76">
        <f t="shared" si="17"/>
        <v>7.1999999999999904</v>
      </c>
      <c r="B76">
        <f t="shared" si="10"/>
        <v>9.9999999999999645E-2</v>
      </c>
      <c r="E76">
        <f t="shared" si="11"/>
        <v>1.8446586105272408E-3</v>
      </c>
      <c r="F76">
        <f t="shared" si="18"/>
        <v>3.7734359969218948E-3</v>
      </c>
      <c r="H76">
        <f t="shared" si="19"/>
        <v>2.8090473037245679E-3</v>
      </c>
      <c r="I76">
        <f>J75+B76*(ff(J75,A76))</f>
        <v>3.0981904624885572E-3</v>
      </c>
      <c r="J76">
        <f>J75+B76*AVERAGE(ff(I76,A76),ff(J75,A76))</f>
        <v>3.1756452240507705E-3</v>
      </c>
      <c r="L76">
        <f>ff(P75,A76)</f>
        <v>-7.4980803604972968E-3</v>
      </c>
      <c r="M76">
        <f>ff(P75+L76/2*B76,A76)</f>
        <v>-6.74827232444757E-3</v>
      </c>
      <c r="N76">
        <f>ff(P75+M76/2*B76,A76)</f>
        <v>-6.8232531280525421E-3</v>
      </c>
      <c r="O76">
        <f>ff(P75+N76*B76,A76)</f>
        <v>-6.133429734886793E-3</v>
      </c>
      <c r="P76">
        <f>P75+(1/6*L76+1/3*M76+1/3*N76+1/6*O76)*B76</f>
        <v>3.0694641635755789E-3</v>
      </c>
      <c r="R76">
        <f>ff(U75,A76)</f>
        <v>-3.6043749728673627E-3</v>
      </c>
      <c r="S76">
        <f>ff(U75+R76/2*B76,A76)</f>
        <v>-3.2439374755806275E-3</v>
      </c>
      <c r="T76">
        <f>ff(U75-1*R76*B76+S76*2*B76,A76)</f>
        <v>-3.0276749772085868E-3</v>
      </c>
      <c r="U76">
        <f>U75+(1/6*R76+2/3*S76+1/3*T76)*B76</f>
        <v>1.4249295726068987E-3</v>
      </c>
      <c r="W76">
        <f>W75+B76/24*(55*ff(W75,A76)-59*ff(W74,A76)+37*ff(W73,A76)-9*ff(W72,A76))</f>
        <v>3.0873532861283477E-3</v>
      </c>
      <c r="AA76">
        <f>A76</f>
        <v>7.1999999999999904</v>
      </c>
      <c r="AB76">
        <f>E76</f>
        <v>1.8446586105272408E-3</v>
      </c>
      <c r="AC76">
        <f>F76</f>
        <v>3.7734359969218948E-3</v>
      </c>
      <c r="AD76">
        <f t="shared" si="12"/>
        <v>2.8090473037245679E-3</v>
      </c>
      <c r="AE76">
        <f t="shared" si="13"/>
        <v>3.1756452240507705E-3</v>
      </c>
      <c r="AF76">
        <f t="shared" si="14"/>
        <v>3.0694641635755789E-3</v>
      </c>
      <c r="AG76">
        <f t="shared" si="15"/>
        <v>1.4249295726068987E-3</v>
      </c>
      <c r="AH76">
        <f t="shared" si="16"/>
        <v>3.0873532861283477E-3</v>
      </c>
    </row>
    <row r="77" spans="1:34" x14ac:dyDescent="0.25">
      <c r="A77">
        <f t="shared" si="17"/>
        <v>7.2999999999999901</v>
      </c>
      <c r="B77">
        <f t="shared" si="10"/>
        <v>9.9999999999999645E-2</v>
      </c>
      <c r="E77">
        <f t="shared" si="11"/>
        <v>1.4757268884217939E-3</v>
      </c>
      <c r="F77">
        <f t="shared" si="18"/>
        <v>3.1445299974349143E-3</v>
      </c>
      <c r="H77">
        <f t="shared" si="19"/>
        <v>2.310128442928354E-3</v>
      </c>
      <c r="I77">
        <f>J76+B77*(ff(J76,A77))</f>
        <v>2.5405161792406185E-3</v>
      </c>
      <c r="J77">
        <f>J76+B77*AVERAGE(ff(I77,A77),ff(J76,A77))</f>
        <v>2.6040290837216337E-3</v>
      </c>
      <c r="L77">
        <f>ff(P76,A77)</f>
        <v>-6.1389283271511578E-3</v>
      </c>
      <c r="M77">
        <f>ff(P76+L77/2*B77,A77)</f>
        <v>-5.5250354944360444E-3</v>
      </c>
      <c r="N77">
        <f>ff(P76+M77/2*B77,A77)</f>
        <v>-5.586424777707555E-3</v>
      </c>
      <c r="O77">
        <f>ff(P76+N77*B77,A77)</f>
        <v>-5.0216433716096503E-3</v>
      </c>
      <c r="P77">
        <f>P76+(1/6*L77+1/3*M77+1/3*N77+1/6*O77)*B77</f>
        <v>2.5130726261914475E-3</v>
      </c>
      <c r="R77">
        <f>ff(U76,A77)</f>
        <v>-2.8498591452137973E-3</v>
      </c>
      <c r="S77">
        <f>ff(U76+R77/2*B77,A77)</f>
        <v>-2.5648732306924188E-3</v>
      </c>
      <c r="T77">
        <f>ff(U76-1*R77*B77+S77*2*B77,A77)</f>
        <v>-2.3938816819795909E-3</v>
      </c>
      <c r="U77">
        <f>U76+(1/6*R77+2/3*S77+1/3*T77)*B77</f>
        <v>1.1266443154078554E-3</v>
      </c>
      <c r="W77">
        <f>W76+B77/24*(55*ff(W76,A77)-59*ff(W75,A77)+37*ff(W74,A77)-9*ff(W73,A77))</f>
        <v>2.4870872985246727E-3</v>
      </c>
      <c r="AA77">
        <f>A77</f>
        <v>7.2999999999999901</v>
      </c>
      <c r="AB77">
        <f>E77</f>
        <v>1.4757268884217939E-3</v>
      </c>
      <c r="AC77">
        <f>F77</f>
        <v>3.1445299974349143E-3</v>
      </c>
      <c r="AD77">
        <f t="shared" si="12"/>
        <v>2.310128442928354E-3</v>
      </c>
      <c r="AE77">
        <f t="shared" si="13"/>
        <v>2.6040290837216337E-3</v>
      </c>
      <c r="AF77">
        <f t="shared" si="14"/>
        <v>2.5130726261914475E-3</v>
      </c>
      <c r="AG77">
        <f t="shared" si="15"/>
        <v>1.1266443154078554E-3</v>
      </c>
      <c r="AH77">
        <f t="shared" si="16"/>
        <v>2.4870872985246727E-3</v>
      </c>
    </row>
    <row r="78" spans="1:34" x14ac:dyDescent="0.25">
      <c r="A78">
        <f t="shared" si="17"/>
        <v>7.3999999999999897</v>
      </c>
      <c r="B78">
        <f t="shared" si="10"/>
        <v>9.9999999999999645E-2</v>
      </c>
      <c r="E78">
        <f t="shared" si="11"/>
        <v>1.1805815107374363E-3</v>
      </c>
      <c r="F78">
        <f t="shared" si="18"/>
        <v>2.6204416645290969E-3</v>
      </c>
      <c r="H78">
        <f t="shared" si="19"/>
        <v>1.9005115876332666E-3</v>
      </c>
      <c r="I78">
        <f>J77+B78*(ff(J77,A78))</f>
        <v>2.0832232669773087E-3</v>
      </c>
      <c r="J78">
        <f>J77+B78*AVERAGE(ff(I78,A78),ff(J77,A78))</f>
        <v>2.1353038486517412E-3</v>
      </c>
      <c r="L78">
        <f>ff(P77,A78)</f>
        <v>-5.0261452523828951E-3</v>
      </c>
      <c r="M78">
        <f>ff(P77+L78/2*B78,A78)</f>
        <v>-4.5235307271446071E-3</v>
      </c>
      <c r="N78">
        <f>ff(P77+M78/2*B78,A78)</f>
        <v>-4.5737921796684356E-3</v>
      </c>
      <c r="O78">
        <f>ff(P77+N78*B78,A78)</f>
        <v>-4.111386816449211E-3</v>
      </c>
      <c r="P78">
        <f>P77+(1/6*L78+1/3*M78+1/3*N78+1/6*O78)*B78</f>
        <v>2.0575363281504794E-3</v>
      </c>
      <c r="R78">
        <f>ff(U77,A78)</f>
        <v>-2.2532886308157109E-3</v>
      </c>
      <c r="S78">
        <f>ff(U77+R78/2*B78,A78)</f>
        <v>-2.0279597677341408E-3</v>
      </c>
      <c r="T78">
        <f>ff(U77-1*R78*B78+S78*2*B78,A78)</f>
        <v>-1.8927624498851982E-3</v>
      </c>
      <c r="U78">
        <f>U77+(1/6*R78+2/3*S78+1/3*T78)*B78</f>
        <v>8.9080010538247843E-4</v>
      </c>
      <c r="W78">
        <f>W77+B78/24*(55*ff(W77,A78)-59*ff(W76,A78)+37*ff(W75,A78)-9*ff(W74,A78))</f>
        <v>2.0682626614859792E-3</v>
      </c>
      <c r="AA78">
        <f>A78</f>
        <v>7.3999999999999897</v>
      </c>
      <c r="AB78">
        <f>E78</f>
        <v>1.1805815107374363E-3</v>
      </c>
      <c r="AC78">
        <f>F78</f>
        <v>2.6204416645290969E-3</v>
      </c>
      <c r="AD78">
        <f t="shared" si="12"/>
        <v>1.9005115876332666E-3</v>
      </c>
      <c r="AE78">
        <f t="shared" si="13"/>
        <v>2.1353038486517412E-3</v>
      </c>
      <c r="AF78">
        <f t="shared" si="14"/>
        <v>2.0575363281504794E-3</v>
      </c>
      <c r="AG78">
        <f t="shared" si="15"/>
        <v>8.9080010538247843E-4</v>
      </c>
      <c r="AH78">
        <f t="shared" si="16"/>
        <v>2.0682626614859792E-3</v>
      </c>
    </row>
    <row r="79" spans="1:34" x14ac:dyDescent="0.25">
      <c r="A79">
        <f t="shared" si="17"/>
        <v>7.4999999999999893</v>
      </c>
      <c r="B79">
        <f t="shared" si="10"/>
        <v>9.9999999999999645E-2</v>
      </c>
      <c r="E79">
        <f t="shared" si="11"/>
        <v>9.444652085899498E-4</v>
      </c>
      <c r="F79">
        <f t="shared" si="18"/>
        <v>2.1837013871075822E-3</v>
      </c>
      <c r="H79">
        <f t="shared" si="19"/>
        <v>1.564083297848766E-3</v>
      </c>
      <c r="I79">
        <f>J78+B79*(ff(J78,A79))</f>
        <v>1.7082430789213945E-3</v>
      </c>
      <c r="J79">
        <f>J78+B79*AVERAGE(ff(I79,A79),ff(J78,A79))</f>
        <v>1.750949155894429E-3</v>
      </c>
      <c r="L79">
        <f>ff(P78,A79)</f>
        <v>-4.1150726563009589E-3</v>
      </c>
      <c r="M79">
        <f>ff(P78+L79/2*B79,A79)</f>
        <v>-3.7035653906708644E-3</v>
      </c>
      <c r="N79">
        <f>ff(P78+M79/2*B79,A79)</f>
        <v>-3.7447161172338736E-3</v>
      </c>
      <c r="O79">
        <f>ff(P78+N79*B79,A79)</f>
        <v>-3.3661294328541868E-3</v>
      </c>
      <c r="P79">
        <f>P78+(1/6*L79+1/3*M79+1/3*N79+1/6*O79)*B79</f>
        <v>1.6845735764010705E-3</v>
      </c>
      <c r="R79">
        <f>ff(U78,A79)</f>
        <v>-1.7816002107649569E-3</v>
      </c>
      <c r="S79">
        <f>ff(U78+R79/2*B79,A79)</f>
        <v>-1.6034401896884618E-3</v>
      </c>
      <c r="T79">
        <f>ff(U78-1*R79*B79+S79*2*B79,A79)</f>
        <v>-1.4965441770425645E-3</v>
      </c>
      <c r="U79">
        <f>U78+(1/6*R79+2/3*S79+1/3*T79)*B79</f>
        <v>7.0432594998908024E-4</v>
      </c>
      <c r="W79">
        <f>W78+B79/24*(55*ff(W78,A79)-59*ff(W77,A79)+37*ff(W76,A79)-9*ff(W75,A79))</f>
        <v>1.6691080280611136E-3</v>
      </c>
      <c r="AA79">
        <f>A79</f>
        <v>7.4999999999999893</v>
      </c>
      <c r="AB79">
        <f>E79</f>
        <v>9.444652085899498E-4</v>
      </c>
      <c r="AC79">
        <f>F79</f>
        <v>2.1837013871075822E-3</v>
      </c>
      <c r="AD79">
        <f t="shared" si="12"/>
        <v>1.564083297848766E-3</v>
      </c>
      <c r="AE79">
        <f t="shared" si="13"/>
        <v>1.750949155894429E-3</v>
      </c>
      <c r="AF79">
        <f t="shared" si="14"/>
        <v>1.6845735764010705E-3</v>
      </c>
      <c r="AG79">
        <f t="shared" si="15"/>
        <v>7.0432594998908024E-4</v>
      </c>
      <c r="AH79">
        <f t="shared" si="16"/>
        <v>1.6691080280611136E-3</v>
      </c>
    </row>
    <row r="80" spans="1:34" x14ac:dyDescent="0.25">
      <c r="A80">
        <f t="shared" si="17"/>
        <v>7.599999999999989</v>
      </c>
      <c r="B80">
        <f t="shared" si="10"/>
        <v>9.9999999999999645E-2</v>
      </c>
      <c r="E80">
        <f t="shared" si="11"/>
        <v>7.5557216687196051E-4</v>
      </c>
      <c r="F80">
        <f t="shared" si="18"/>
        <v>1.8197511559229862E-3</v>
      </c>
      <c r="H80">
        <f t="shared" si="19"/>
        <v>1.2876616613974733E-3</v>
      </c>
      <c r="I80">
        <f>J79+B80*(ff(J79,A80))</f>
        <v>1.4007593247155445E-3</v>
      </c>
      <c r="J80">
        <f>J79+B80*AVERAGE(ff(I80,A80),ff(J79,A80))</f>
        <v>1.4357783078334328E-3</v>
      </c>
      <c r="L80">
        <f>ff(P79,A80)</f>
        <v>-3.369147152802141E-3</v>
      </c>
      <c r="M80">
        <f>ff(P79+L80/2*B80,A80)</f>
        <v>-3.0322324375219281E-3</v>
      </c>
      <c r="N80">
        <f>ff(P79+M80/2*B80,A80)</f>
        <v>-3.0659239090499494E-3</v>
      </c>
      <c r="O80">
        <f>ff(P79+N80*B80,A80)</f>
        <v>-2.7559623709921535E-3</v>
      </c>
      <c r="P80">
        <f>P79+(1/6*L80+1/3*M80+1/3*N80+1/6*O80)*B80</f>
        <v>1.379216539452104E-3</v>
      </c>
      <c r="R80">
        <f>ff(U79,A80)</f>
        <v>-1.4086518999781605E-3</v>
      </c>
      <c r="S80">
        <f>ff(U79+R80/2*B80,A80)</f>
        <v>-1.2677867099803448E-3</v>
      </c>
      <c r="T80">
        <f>ff(U79-1*R80*B80+S80*2*B80,A80)</f>
        <v>-1.1832675959816555E-3</v>
      </c>
      <c r="U80">
        <f>U79+(1/6*R80+2/3*S80+1/3*T80)*B80</f>
        <v>5.568870511246999E-4</v>
      </c>
      <c r="W80">
        <f>W79+B80/24*(55*ff(W79,A80)-59*ff(W78,A80)+37*ff(W77,A80)-9*ff(W76,A80))</f>
        <v>1.385695569844896E-3</v>
      </c>
      <c r="AA80">
        <f>A80</f>
        <v>7.599999999999989</v>
      </c>
      <c r="AB80">
        <f>E80</f>
        <v>7.5557216687196051E-4</v>
      </c>
      <c r="AC80">
        <f>F80</f>
        <v>1.8197511559229862E-3</v>
      </c>
      <c r="AD80">
        <f t="shared" si="12"/>
        <v>1.2876616613974733E-3</v>
      </c>
      <c r="AE80">
        <f t="shared" si="13"/>
        <v>1.4357783078334328E-3</v>
      </c>
      <c r="AF80">
        <f t="shared" si="14"/>
        <v>1.379216539452104E-3</v>
      </c>
      <c r="AG80">
        <f t="shared" si="15"/>
        <v>5.568870511246999E-4</v>
      </c>
      <c r="AH80">
        <f t="shared" si="16"/>
        <v>1.385695569844896E-3</v>
      </c>
    </row>
    <row r="81" spans="1:34" x14ac:dyDescent="0.25">
      <c r="A81">
        <f t="shared" si="17"/>
        <v>7.6999999999999886</v>
      </c>
      <c r="B81">
        <f t="shared" si="10"/>
        <v>9.9999999999999645E-2</v>
      </c>
      <c r="E81">
        <f t="shared" si="11"/>
        <v>6.0445773349756897E-4</v>
      </c>
      <c r="F81">
        <f t="shared" si="18"/>
        <v>1.5164592966024895E-3</v>
      </c>
      <c r="H81">
        <f t="shared" si="19"/>
        <v>1.0604585150500293E-3</v>
      </c>
      <c r="I81">
        <f>J80+B81*(ff(J80,A81))</f>
        <v>1.1486226462667473E-3</v>
      </c>
      <c r="J81">
        <f>J80+B81*AVERAGE(ff(I81,A81),ff(J80,A81))</f>
        <v>1.1773382124234157E-3</v>
      </c>
      <c r="L81">
        <f>ff(P80,A81)</f>
        <v>-2.7584330789042081E-3</v>
      </c>
      <c r="M81">
        <f>ff(P80+L81/2*B81,A81)</f>
        <v>-2.4825897710137883E-3</v>
      </c>
      <c r="N81">
        <f>ff(P80+M81/2*B81,A81)</f>
        <v>-2.5101741018028301E-3</v>
      </c>
      <c r="O81">
        <f>ff(P80+N81*B81,A81)</f>
        <v>-2.2563982585436437E-3</v>
      </c>
      <c r="P81">
        <f>P80+(1/6*L81+1/3*M81+1/3*N81+1/6*O81)*B81</f>
        <v>1.1292105547340869E-3</v>
      </c>
      <c r="R81">
        <f>ff(U80,A81)</f>
        <v>-1.1137741022493998E-3</v>
      </c>
      <c r="S81">
        <f>ff(U80+R81/2*B81,A81)</f>
        <v>-1.0023966920244603E-3</v>
      </c>
      <c r="T81">
        <f>ff(U80-1*R81*B81+S81*2*B81,A81)</f>
        <v>-9.355702458894962E-4</v>
      </c>
      <c r="U81">
        <f>U80+(1/6*R81+2/3*S81+1/3*T81)*B81</f>
        <v>4.4031202842259641E-4</v>
      </c>
      <c r="W81">
        <f>W80+B81/24*(55*ff(W80,A81)-59*ff(W79,A81)+37*ff(W78,A81)-9*ff(W77,A81))</f>
        <v>1.1200471075605407E-3</v>
      </c>
      <c r="AA81">
        <f>A81</f>
        <v>7.6999999999999886</v>
      </c>
      <c r="AB81">
        <f>E81</f>
        <v>6.0445773349756897E-4</v>
      </c>
      <c r="AC81">
        <f>F81</f>
        <v>1.5164592966024895E-3</v>
      </c>
      <c r="AD81">
        <f t="shared" si="12"/>
        <v>1.0604585150500293E-3</v>
      </c>
      <c r="AE81">
        <f t="shared" si="13"/>
        <v>1.1773382124234157E-3</v>
      </c>
      <c r="AF81">
        <f t="shared" si="14"/>
        <v>1.1292105547340869E-3</v>
      </c>
      <c r="AG81">
        <f t="shared" si="15"/>
        <v>4.4031202842259641E-4</v>
      </c>
      <c r="AH81">
        <f t="shared" si="16"/>
        <v>1.1200471075605407E-3</v>
      </c>
    </row>
    <row r="82" spans="1:34" x14ac:dyDescent="0.25">
      <c r="A82">
        <f t="shared" si="17"/>
        <v>7.7999999999999883</v>
      </c>
      <c r="B82">
        <f t="shared" si="10"/>
        <v>9.9999999999999645E-2</v>
      </c>
      <c r="E82">
        <f t="shared" si="11"/>
        <v>4.8356618679805559E-4</v>
      </c>
      <c r="F82">
        <f t="shared" si="18"/>
        <v>1.2637160805020753E-3</v>
      </c>
      <c r="H82">
        <f t="shared" si="19"/>
        <v>8.7364113365006549E-4</v>
      </c>
      <c r="I82">
        <f>J81+B82*(ff(J81,A82))</f>
        <v>9.4187056993873339E-4</v>
      </c>
      <c r="J82">
        <f>J81+B82*AVERAGE(ff(I82,A82),ff(J81,A82))</f>
        <v>9.6541733418720145E-4</v>
      </c>
      <c r="L82">
        <f>ff(P81,A82)</f>
        <v>-2.2584211094681737E-3</v>
      </c>
      <c r="M82">
        <f>ff(P81+L82/2*B82,A82)</f>
        <v>-2.0325789985213573E-3</v>
      </c>
      <c r="N82">
        <f>ff(P81+M82/2*B82,A82)</f>
        <v>-2.0551632096160385E-3</v>
      </c>
      <c r="O82">
        <f>ff(P81+N82*B82,A82)</f>
        <v>-1.8473884675449675E-3</v>
      </c>
      <c r="P82">
        <f>P81+(1/6*L82+1/3*M82+1/3*N82+1/6*O82)*B82</f>
        <v>9.2452232151262208E-4</v>
      </c>
      <c r="R82">
        <f>ff(U81,A82)</f>
        <v>-8.8062405684519282E-4</v>
      </c>
      <c r="S82">
        <f>ff(U81+R82/2*B82,A82)</f>
        <v>-7.9256165116067389E-4</v>
      </c>
      <c r="T82">
        <f>ff(U81-1*R82*B82+S82*2*B82,A82)</f>
        <v>-7.3972420774996229E-4</v>
      </c>
      <c r="U82">
        <f>U81+(1/6*R82+2/3*S82+1/3*T82)*B82</f>
        <v>3.4814004380613318E-4</v>
      </c>
      <c r="W82">
        <f>W81+B82/24*(55*ff(W81,A82)-59*ff(W80,A82)+37*ff(W79,A82)-9*ff(W78,A82))</f>
        <v>9.2847056272830572E-4</v>
      </c>
      <c r="AA82">
        <f>A82</f>
        <v>7.7999999999999883</v>
      </c>
      <c r="AB82">
        <f>E82</f>
        <v>4.8356618679805559E-4</v>
      </c>
      <c r="AC82">
        <f>F82</f>
        <v>1.2637160805020753E-3</v>
      </c>
      <c r="AD82">
        <f t="shared" si="12"/>
        <v>8.7364113365006549E-4</v>
      </c>
      <c r="AE82">
        <f t="shared" si="13"/>
        <v>9.6541733418720145E-4</v>
      </c>
      <c r="AF82">
        <f t="shared" si="14"/>
        <v>9.2452232151262208E-4</v>
      </c>
      <c r="AG82">
        <f t="shared" si="15"/>
        <v>3.4814004380613318E-4</v>
      </c>
      <c r="AH82">
        <f t="shared" si="16"/>
        <v>9.2847056272830572E-4</v>
      </c>
    </row>
    <row r="83" spans="1:34" x14ac:dyDescent="0.25">
      <c r="A83">
        <f t="shared" si="17"/>
        <v>7.8999999999999879</v>
      </c>
      <c r="B83">
        <f t="shared" si="10"/>
        <v>9.9999999999999645E-2</v>
      </c>
      <c r="E83">
        <f t="shared" si="11"/>
        <v>3.8685294943844483E-4</v>
      </c>
      <c r="F83">
        <f t="shared" si="18"/>
        <v>1.0530967337517301E-3</v>
      </c>
      <c r="H83">
        <f t="shared" si="19"/>
        <v>7.1997484159508742E-4</v>
      </c>
      <c r="I83">
        <f>J82+B83*(ff(J82,A83))</f>
        <v>7.7233386734976183E-4</v>
      </c>
      <c r="J83">
        <f>J82+B83*AVERAGE(ff(I83,A83),ff(J82,A83))</f>
        <v>7.9164221403350572E-4</v>
      </c>
      <c r="L83">
        <f>ff(P82,A83)</f>
        <v>-1.8490446430252442E-3</v>
      </c>
      <c r="M83">
        <f>ff(P82+L83/2*B83,A83)</f>
        <v>-1.6641401787227204E-3</v>
      </c>
      <c r="N83">
        <f>ff(P82+M83/2*B83,A83)</f>
        <v>-1.6826306251529726E-3</v>
      </c>
      <c r="O83">
        <f>ff(P82+N83*B83,A83)</f>
        <v>-1.5125185179946509E-3</v>
      </c>
      <c r="P83">
        <f>P82+(1/6*L83+1/3*M83+1/3*N83+1/6*O83)*B83</f>
        <v>7.569372420331013E-4</v>
      </c>
      <c r="R83">
        <f>ff(U82,A83)</f>
        <v>-6.9628008761226637E-4</v>
      </c>
      <c r="S83">
        <f>ff(U82+R83/2*B83,A83)</f>
        <v>-6.2665207885103996E-4</v>
      </c>
      <c r="T83">
        <f>ff(U82-1*R83*B83+S83*2*B83,A83)</f>
        <v>-5.8487527359430411E-4</v>
      </c>
      <c r="U83">
        <f>U82+(1/6*R83+2/3*S83+1/3*T83)*B83</f>
        <v>2.7526272796938288E-4</v>
      </c>
      <c r="W83">
        <f>W82+B83/24*(55*ff(W82,A83)-59*ff(W81,A83)+37*ff(W80,A83)-9*ff(W79,A83))</f>
        <v>7.5153835076417264E-4</v>
      </c>
      <c r="AA83">
        <f>A83</f>
        <v>7.8999999999999879</v>
      </c>
      <c r="AB83">
        <f>E83</f>
        <v>3.8685294943844483E-4</v>
      </c>
      <c r="AC83">
        <f>F83</f>
        <v>1.0530967337517301E-3</v>
      </c>
      <c r="AD83">
        <f t="shared" si="12"/>
        <v>7.1997484159508742E-4</v>
      </c>
      <c r="AE83">
        <f t="shared" si="13"/>
        <v>7.9164221403350572E-4</v>
      </c>
      <c r="AF83">
        <f t="shared" si="14"/>
        <v>7.569372420331013E-4</v>
      </c>
      <c r="AG83">
        <f t="shared" si="15"/>
        <v>2.7526272796938288E-4</v>
      </c>
      <c r="AH83">
        <f t="shared" si="16"/>
        <v>7.5153835076417264E-4</v>
      </c>
    </row>
    <row r="84" spans="1:34" x14ac:dyDescent="0.25">
      <c r="A84">
        <f t="shared" si="17"/>
        <v>7.9999999999999876</v>
      </c>
      <c r="B84">
        <f t="shared" si="10"/>
        <v>9.9999999999999645E-2</v>
      </c>
      <c r="E84">
        <f t="shared" si="11"/>
        <v>3.0948235955075617E-4</v>
      </c>
      <c r="F84">
        <f t="shared" si="18"/>
        <v>8.7758061145977559E-4</v>
      </c>
      <c r="H84">
        <f t="shared" si="19"/>
        <v>5.9353148550526588E-4</v>
      </c>
      <c r="I84">
        <f>J83+B84*(ff(J83,A84))</f>
        <v>6.3331377122680511E-4</v>
      </c>
      <c r="J84">
        <f>J83+B84*AVERAGE(ff(I84,A84),ff(J83,A84))</f>
        <v>6.4914661550747514E-4</v>
      </c>
      <c r="L84">
        <f>ff(P83,A84)</f>
        <v>-1.5138744840662026E-3</v>
      </c>
      <c r="M84">
        <f>ff(P83+L84/2*B84,A84)</f>
        <v>-1.3624870356595828E-3</v>
      </c>
      <c r="N84">
        <f>ff(P83+M84/2*B84,A84)</f>
        <v>-1.3776257805002449E-3</v>
      </c>
      <c r="O84">
        <f>ff(P83+N84*B84,A84)</f>
        <v>-1.2383493279661546E-3</v>
      </c>
      <c r="P84">
        <f>P83+(1/6*L84+1/3*M84+1/3*N84+1/6*O84)*B84</f>
        <v>6.1972975129390162E-4</v>
      </c>
      <c r="R84">
        <f>ff(U83,A84)</f>
        <v>-5.5052545593876575E-4</v>
      </c>
      <c r="S84">
        <f>ff(U83+R84/2*B84,A84)</f>
        <v>-4.9547291034488937E-4</v>
      </c>
      <c r="T84">
        <f>ff(U83-1*R84*B84+S84*2*B84,A84)</f>
        <v>-4.6244138298856346E-4</v>
      </c>
      <c r="U84">
        <f>U83+(1/6*R84+2/3*S84+1/3*T84)*B84</f>
        <v>2.1764106358112558E-4</v>
      </c>
      <c r="W84">
        <f>W83+B84/24*(55*ff(W83,A84)-59*ff(W82,A84)+37*ff(W81,A84)-9*ff(W80,A84))</f>
        <v>6.2216060957921151E-4</v>
      </c>
      <c r="AA84">
        <f>A84</f>
        <v>7.9999999999999876</v>
      </c>
      <c r="AB84">
        <f>E84</f>
        <v>3.0948235955075617E-4</v>
      </c>
      <c r="AC84">
        <f>F84</f>
        <v>8.7758061145977559E-4</v>
      </c>
      <c r="AD84">
        <f t="shared" si="12"/>
        <v>5.9353148550526588E-4</v>
      </c>
      <c r="AE84">
        <f t="shared" si="13"/>
        <v>6.4914661550747514E-4</v>
      </c>
      <c r="AF84">
        <f t="shared" si="14"/>
        <v>6.1972975129390162E-4</v>
      </c>
      <c r="AG84">
        <f t="shared" si="15"/>
        <v>2.1764106358112558E-4</v>
      </c>
      <c r="AH84">
        <f t="shared" si="16"/>
        <v>6.2216060957921151E-4</v>
      </c>
    </row>
    <row r="85" spans="1:34" x14ac:dyDescent="0.25">
      <c r="A85">
        <f t="shared" si="17"/>
        <v>8.0999999999999872</v>
      </c>
      <c r="B85">
        <f t="shared" si="10"/>
        <v>9.9999999999999645E-2</v>
      </c>
      <c r="E85">
        <f t="shared" si="11"/>
        <v>2.4758588764060515E-4</v>
      </c>
      <c r="F85">
        <f t="shared" si="18"/>
        <v>7.3131717621648009E-4</v>
      </c>
      <c r="H85">
        <f t="shared" si="19"/>
        <v>4.8945153192854257E-4</v>
      </c>
      <c r="I85">
        <f>J84+B85*(ff(J84,A85))</f>
        <v>5.1931729240598055E-4</v>
      </c>
      <c r="J85">
        <f>J84+B85*AVERAGE(ff(I85,A85),ff(J84,A85))</f>
        <v>5.3230022471613002E-4</v>
      </c>
      <c r="L85">
        <f>ff(P84,A85)</f>
        <v>-1.2394595025878032E-3</v>
      </c>
      <c r="M85">
        <f>ff(P84+L85/2*B85,A85)</f>
        <v>-1.1155135523290233E-3</v>
      </c>
      <c r="N85">
        <f>ff(P84+M85/2*B85,A85)</f>
        <v>-1.1279081473549012E-3</v>
      </c>
      <c r="O85">
        <f>ff(P84+N85*B85,A85)</f>
        <v>-1.0138778731168239E-3</v>
      </c>
      <c r="P85">
        <f>P84+(1/6*L85+1/3*M85+1/3*N85+1/6*O85)*B85</f>
        <v>5.0739340504269413E-4</v>
      </c>
      <c r="R85">
        <f>ff(U84,A85)</f>
        <v>-4.3528212716225116E-4</v>
      </c>
      <c r="S85">
        <f>ff(U84+R85/2*B85,A85)</f>
        <v>-3.9175391444602617E-4</v>
      </c>
      <c r="T85">
        <f>ff(U84-1*R85*B85+S85*2*B85,A85)</f>
        <v>-3.6563698681629125E-4</v>
      </c>
      <c r="U85">
        <f>U84+(1/6*R85+2/3*S85+1/3*T85)*B85</f>
        <v>1.7208153427147676E-4</v>
      </c>
      <c r="W85">
        <f>W84+B85/24*(55*ff(W84,A85)-59*ff(W83,A85)+37*ff(W82,A85)-9*ff(W81,A85))</f>
        <v>5.0423512887360451E-4</v>
      </c>
      <c r="AA85">
        <f>A85</f>
        <v>8.0999999999999872</v>
      </c>
      <c r="AB85">
        <f>E85</f>
        <v>2.4758588764060515E-4</v>
      </c>
      <c r="AC85">
        <f>F85</f>
        <v>7.3131717621648009E-4</v>
      </c>
      <c r="AD85">
        <f t="shared" si="12"/>
        <v>4.8945153192854257E-4</v>
      </c>
      <c r="AE85">
        <f t="shared" si="13"/>
        <v>5.3230022471613002E-4</v>
      </c>
      <c r="AF85">
        <f t="shared" si="14"/>
        <v>5.0739340504269413E-4</v>
      </c>
      <c r="AG85">
        <f t="shared" si="15"/>
        <v>1.7208153427147676E-4</v>
      </c>
      <c r="AH85">
        <f t="shared" si="16"/>
        <v>5.0423512887360451E-4</v>
      </c>
    </row>
    <row r="86" spans="1:34" x14ac:dyDescent="0.25">
      <c r="A86">
        <f t="shared" si="17"/>
        <v>8.1999999999999869</v>
      </c>
      <c r="B86">
        <f t="shared" si="10"/>
        <v>9.9999999999999645E-2</v>
      </c>
      <c r="E86">
        <f t="shared" si="11"/>
        <v>1.9806871011248431E-4</v>
      </c>
      <c r="F86">
        <f t="shared" si="18"/>
        <v>6.0943098018040038E-4</v>
      </c>
      <c r="H86">
        <f t="shared" si="19"/>
        <v>4.0374984514644232E-4</v>
      </c>
      <c r="I86">
        <f>J85+B86*(ff(J85,A86))</f>
        <v>4.2584017977290438E-4</v>
      </c>
      <c r="J86">
        <f>J85+B86*AVERAGE(ff(I86,A86),ff(J85,A86))</f>
        <v>4.3648618426722695E-4</v>
      </c>
      <c r="L86">
        <f>ff(P85,A86)</f>
        <v>-1.0147868100853883E-3</v>
      </c>
      <c r="M86">
        <f>ff(P85+L86/2*B86,A86)</f>
        <v>-9.1330812907684973E-4</v>
      </c>
      <c r="N86">
        <f>ff(P85+M86/2*B86,A86)</f>
        <v>-9.2345599717770358E-4</v>
      </c>
      <c r="O86">
        <f>ff(P85+N86*B86,A86)</f>
        <v>-8.3009561064984817E-4</v>
      </c>
      <c r="P86">
        <f>P85+(1/6*L86+1/3*M86+1/3*N86+1/6*O86)*B86</f>
        <v>4.154198938219554E-4</v>
      </c>
      <c r="R86">
        <f>ff(U85,A86)</f>
        <v>-3.4416306854295352E-4</v>
      </c>
      <c r="S86">
        <f>ff(U85+R86/2*B86,A86)</f>
        <v>-3.0974676168865828E-4</v>
      </c>
      <c r="T86">
        <f>ff(U85-1*R86*B86+S86*2*B86,A86)</f>
        <v>-2.8909697757608115E-4</v>
      </c>
      <c r="U86">
        <f>U85+(1/6*R86+2/3*S86+1/3*T86)*B86</f>
        <v>1.360591330973144E-4</v>
      </c>
      <c r="W86">
        <f>W85+B86/24*(55*ff(W85,A86)-59*ff(W84,A86)+37*ff(W83,A86)-9*ff(W82,A86))</f>
        <v>4.169339619019848E-4</v>
      </c>
      <c r="AA86">
        <f>A86</f>
        <v>8.1999999999999869</v>
      </c>
      <c r="AB86">
        <f>E86</f>
        <v>1.9806871011248431E-4</v>
      </c>
      <c r="AC86">
        <f>F86</f>
        <v>6.0943098018040038E-4</v>
      </c>
      <c r="AD86">
        <f t="shared" si="12"/>
        <v>4.0374984514644232E-4</v>
      </c>
      <c r="AE86">
        <f t="shared" si="13"/>
        <v>4.3648618426722695E-4</v>
      </c>
      <c r="AF86">
        <f t="shared" si="14"/>
        <v>4.154198938219554E-4</v>
      </c>
      <c r="AG86">
        <f t="shared" si="15"/>
        <v>1.360591330973144E-4</v>
      </c>
      <c r="AH86">
        <f t="shared" si="16"/>
        <v>4.169339619019848E-4</v>
      </c>
    </row>
    <row r="87" spans="1:34" x14ac:dyDescent="0.25">
      <c r="A87">
        <f t="shared" si="17"/>
        <v>8.2999999999999865</v>
      </c>
      <c r="B87">
        <f t="shared" si="10"/>
        <v>9.9999999999999645E-2</v>
      </c>
      <c r="E87">
        <f t="shared" si="11"/>
        <v>1.5845496808998758E-4</v>
      </c>
      <c r="F87">
        <f t="shared" si="18"/>
        <v>5.0785915015033394E-4</v>
      </c>
      <c r="H87">
        <f t="shared" si="19"/>
        <v>3.3315705912016075E-4</v>
      </c>
      <c r="I87">
        <f>J86+B87*(ff(J86,A87))</f>
        <v>3.4918894741378187E-4</v>
      </c>
      <c r="J87">
        <f>J86+B87*AVERAGE(ff(I87,A87),ff(J86,A87))</f>
        <v>3.5791867109912634E-4</v>
      </c>
      <c r="L87">
        <f>ff(P86,A87)</f>
        <v>-8.3083978764391081E-4</v>
      </c>
      <c r="M87">
        <f>ff(P86+L87/2*B87,A87)</f>
        <v>-7.4775580887952002E-4</v>
      </c>
      <c r="N87">
        <f>ff(P86+M87/2*B87,A87)</f>
        <v>-7.5606420675595901E-4</v>
      </c>
      <c r="O87">
        <f>ff(P86+N87*B87,A87)</f>
        <v>-6.7962694629271955E-4</v>
      </c>
      <c r="P87">
        <f>P86+(1/6*L87+1/3*M87+1/3*N87+1/6*O87)*B87</f>
        <v>3.4011811440182919E-4</v>
      </c>
      <c r="R87">
        <f>ff(U86,A87)</f>
        <v>-2.721182661946288E-4</v>
      </c>
      <c r="S87">
        <f>ff(U86+R87/2*B87,A87)</f>
        <v>-2.4490643957516601E-4</v>
      </c>
      <c r="T87">
        <f>ff(U86-1*R87*B87+S87*2*B87,A87)</f>
        <v>-2.2857934360348832E-4</v>
      </c>
      <c r="U87">
        <f>U86+(1/6*R87+2/3*S87+1/3*T87)*B87</f>
        <v>1.0757742123561001E-4</v>
      </c>
      <c r="W87">
        <f>W86+B87/24*(55*ff(W86,A87)-59*ff(W85,A87)+37*ff(W84,A87)-9*ff(W83,A87))</f>
        <v>3.3828735608015369E-4</v>
      </c>
      <c r="AA87">
        <f>A87</f>
        <v>8.2999999999999865</v>
      </c>
      <c r="AB87">
        <f>E87</f>
        <v>1.5845496808998758E-4</v>
      </c>
      <c r="AC87">
        <f>F87</f>
        <v>5.0785915015033394E-4</v>
      </c>
      <c r="AD87">
        <f t="shared" si="12"/>
        <v>3.3315705912016075E-4</v>
      </c>
      <c r="AE87">
        <f t="shared" si="13"/>
        <v>3.5791867109912634E-4</v>
      </c>
      <c r="AF87">
        <f t="shared" si="14"/>
        <v>3.4011811440182919E-4</v>
      </c>
      <c r="AG87">
        <f t="shared" si="15"/>
        <v>1.0757742123561001E-4</v>
      </c>
      <c r="AH87">
        <f t="shared" si="16"/>
        <v>3.3828735608015369E-4</v>
      </c>
    </row>
    <row r="88" spans="1:34" x14ac:dyDescent="0.25">
      <c r="A88">
        <f t="shared" si="17"/>
        <v>8.3999999999999861</v>
      </c>
      <c r="B88">
        <f t="shared" si="10"/>
        <v>9.9999999999999645E-2</v>
      </c>
      <c r="E88">
        <f t="shared" si="11"/>
        <v>1.2676397447199017E-4</v>
      </c>
      <c r="F88">
        <f t="shared" si="18"/>
        <v>4.2321595845861185E-4</v>
      </c>
      <c r="H88">
        <f t="shared" si="19"/>
        <v>2.7498996646530102E-4</v>
      </c>
      <c r="I88">
        <f>J87+B88*(ff(J87,A88))</f>
        <v>2.8633493687930131E-4</v>
      </c>
      <c r="J88">
        <f>J87+B88*AVERAGE(ff(I88,A88),ff(J87,A88))</f>
        <v>2.9349331030128383E-4</v>
      </c>
      <c r="L88">
        <f>ff(P87,A88)</f>
        <v>-6.8023622880365839E-4</v>
      </c>
      <c r="M88">
        <f>ff(P87+L88/2*B88,A88)</f>
        <v>-6.1221260592329277E-4</v>
      </c>
      <c r="N88">
        <f>ff(P87+M88/2*B88,A88)</f>
        <v>-6.1901496821132934E-4</v>
      </c>
      <c r="O88">
        <f>ff(P87+N88*B88,A88)</f>
        <v>-5.5643323516139302E-4</v>
      </c>
      <c r="P88">
        <f>P87+(1/6*L88+1/3*M88+1/3*N88+1/6*O88)*B88</f>
        <v>2.7846603753125783E-4</v>
      </c>
      <c r="R88">
        <f>ff(U87,A88)</f>
        <v>-2.1515484247122002E-4</v>
      </c>
      <c r="S88">
        <f>ff(U87+R88/2*B88,A88)</f>
        <v>-1.936393582240981E-4</v>
      </c>
      <c r="T88">
        <f>ff(U87-1*R88*B88+S88*2*B88,A88)</f>
        <v>-1.8073006767582489E-4</v>
      </c>
      <c r="U88">
        <f>U87+(1/6*R88+2/3*S88+1/3*T88)*B88</f>
        <v>8.5057881056955728E-5</v>
      </c>
      <c r="W88">
        <f>W87+B88/24*(55*ff(W87,A88)-59*ff(W86,A88)+37*ff(W85,A88)-9*ff(W84,A88))</f>
        <v>2.7942106346097212E-4</v>
      </c>
      <c r="AA88">
        <f>A88</f>
        <v>8.3999999999999861</v>
      </c>
      <c r="AB88">
        <f>E88</f>
        <v>1.2676397447199017E-4</v>
      </c>
      <c r="AC88">
        <f>F88</f>
        <v>4.2321595845861185E-4</v>
      </c>
      <c r="AD88">
        <f t="shared" si="12"/>
        <v>2.7498996646530102E-4</v>
      </c>
      <c r="AE88">
        <f t="shared" si="13"/>
        <v>2.9349331030128383E-4</v>
      </c>
      <c r="AF88">
        <f t="shared" si="14"/>
        <v>2.7846603753125783E-4</v>
      </c>
      <c r="AG88">
        <f t="shared" si="15"/>
        <v>8.5057881056955728E-5</v>
      </c>
      <c r="AH88">
        <f t="shared" si="16"/>
        <v>2.7942106346097212E-4</v>
      </c>
    </row>
    <row r="89" spans="1:34" x14ac:dyDescent="0.25">
      <c r="A89">
        <f t="shared" si="17"/>
        <v>8.4999999999999858</v>
      </c>
      <c r="B89">
        <f t="shared" si="10"/>
        <v>9.9999999999999645E-2</v>
      </c>
      <c r="E89">
        <f t="shared" si="11"/>
        <v>1.0141117957759223E-4</v>
      </c>
      <c r="F89">
        <f t="shared" si="18"/>
        <v>3.5267996538217676E-4</v>
      </c>
      <c r="H89">
        <f t="shared" si="19"/>
        <v>2.2704557247988451E-4</v>
      </c>
      <c r="I89">
        <f>J88+B89*(ff(J88,A89))</f>
        <v>2.3479464824102727E-4</v>
      </c>
      <c r="J89">
        <f>J88+B89*AVERAGE(ff(I89,A89),ff(J88,A89))</f>
        <v>2.4066451444705291E-4</v>
      </c>
      <c r="L89">
        <f>ff(P88,A89)</f>
        <v>-5.5693207506251566E-4</v>
      </c>
      <c r="M89">
        <f>ff(P88+L89/2*B89,A89)</f>
        <v>-5.0123886755626434E-4</v>
      </c>
      <c r="N89">
        <f>ff(P88+M89/2*B89,A89)</f>
        <v>-5.0680818830688937E-4</v>
      </c>
      <c r="O89">
        <f>ff(P88+N89*B89,A89)</f>
        <v>-4.5557043740113818E-4</v>
      </c>
      <c r="P89">
        <f>P88+(1/6*L89+1/3*M89+1/3*N89+1/6*O89)*B89</f>
        <v>2.2798942712809201E-4</v>
      </c>
      <c r="R89">
        <f>ff(U88,A89)</f>
        <v>-1.7011576211391146E-4</v>
      </c>
      <c r="S89">
        <f>ff(U88+R89/2*B89,A89)</f>
        <v>-1.5310418590252036E-4</v>
      </c>
      <c r="T89">
        <f>ff(U88-1*R89*B89+S89*2*B89,A89)</f>
        <v>-1.4289724017568572E-4</v>
      </c>
      <c r="U89">
        <f>U88+(1/6*R89+2/3*S89+1/3*T89)*B89</f>
        <v>6.7252431289033051E-5</v>
      </c>
      <c r="W89">
        <f>W88+B89/24*(55*ff(W88,A89)-59*ff(W87,A89)+37*ff(W86,A89)-9*ff(W85,A89))</f>
        <v>2.2694068919317735E-4</v>
      </c>
      <c r="AA89">
        <f>A89</f>
        <v>8.4999999999999858</v>
      </c>
      <c r="AB89">
        <f>E89</f>
        <v>1.0141117957759223E-4</v>
      </c>
      <c r="AC89">
        <f>F89</f>
        <v>3.5267996538217676E-4</v>
      </c>
      <c r="AD89">
        <f t="shared" si="12"/>
        <v>2.2704557247988451E-4</v>
      </c>
      <c r="AE89">
        <f t="shared" si="13"/>
        <v>2.4066451444705291E-4</v>
      </c>
      <c r="AF89">
        <f t="shared" si="14"/>
        <v>2.2798942712809201E-4</v>
      </c>
      <c r="AG89">
        <f t="shared" si="15"/>
        <v>6.7252431289033051E-5</v>
      </c>
      <c r="AH89">
        <f t="shared" si="16"/>
        <v>2.2694068919317735E-4</v>
      </c>
    </row>
    <row r="90" spans="1:34" x14ac:dyDescent="0.25">
      <c r="A90">
        <f t="shared" si="17"/>
        <v>8.5999999999999854</v>
      </c>
      <c r="B90">
        <f t="shared" si="10"/>
        <v>9.9999999999999645E-2</v>
      </c>
      <c r="E90">
        <f t="shared" si="11"/>
        <v>8.1128943662073856E-5</v>
      </c>
      <c r="F90">
        <f t="shared" si="18"/>
        <v>2.9389997115181416E-4</v>
      </c>
      <c r="H90">
        <f t="shared" si="19"/>
        <v>1.8751445740694401E-4</v>
      </c>
      <c r="I90">
        <f>J89+B90*(ff(J89,A90))</f>
        <v>1.9253161155764249E-4</v>
      </c>
      <c r="J90">
        <f>J89+B90*AVERAGE(ff(I90,A90),ff(J89,A90))</f>
        <v>1.9734490184658354E-4</v>
      </c>
      <c r="L90">
        <f>ff(P89,A90)</f>
        <v>-4.5597885425618402E-4</v>
      </c>
      <c r="M90">
        <f>ff(P89+L90/2*B90,A90)</f>
        <v>-4.1038096883056581E-4</v>
      </c>
      <c r="N90">
        <f>ff(P89+M90/2*B90,A90)</f>
        <v>-4.1494075737312757E-4</v>
      </c>
      <c r="O90">
        <f>ff(P89+N90*B90,A90)</f>
        <v>-3.7299070278155882E-4</v>
      </c>
      <c r="P90">
        <f>P89+(1/6*L90+1/3*M90+1/3*N90+1/6*O90)*B90</f>
        <v>1.8666254363733999E-4</v>
      </c>
      <c r="R90">
        <f>ff(U89,A90)</f>
        <v>-1.345048625780661E-4</v>
      </c>
      <c r="S90">
        <f>ff(U89+R90/2*B90,A90)</f>
        <v>-1.2105437632025954E-4</v>
      </c>
      <c r="T90">
        <f>ff(U89-1*R90*B90+S90*2*B90,A90)</f>
        <v>-1.1298408456557559E-4</v>
      </c>
      <c r="U90">
        <f>U89+(1/6*R90+2/3*S90+1/3*T90)*B90</f>
        <v>5.3174255672528846E-5</v>
      </c>
      <c r="W90">
        <f>W89+B90/24*(55*ff(W89,A90)-59*ff(W88,A90)+37*ff(W87,A90)-9*ff(W86,A90))</f>
        <v>1.8727300853255062E-4</v>
      </c>
      <c r="AA90">
        <f>A90</f>
        <v>8.5999999999999854</v>
      </c>
      <c r="AB90">
        <f>E90</f>
        <v>8.1128943662073856E-5</v>
      </c>
      <c r="AC90">
        <f>F90</f>
        <v>2.9389997115181416E-4</v>
      </c>
      <c r="AD90">
        <f t="shared" si="12"/>
        <v>1.8751445740694401E-4</v>
      </c>
      <c r="AE90">
        <f t="shared" si="13"/>
        <v>1.9734490184658354E-4</v>
      </c>
      <c r="AF90">
        <f t="shared" si="14"/>
        <v>1.8666254363733999E-4</v>
      </c>
      <c r="AG90">
        <f t="shared" si="15"/>
        <v>5.3174255672528846E-5</v>
      </c>
      <c r="AH90">
        <f t="shared" si="16"/>
        <v>1.8727300853255062E-4</v>
      </c>
    </row>
    <row r="91" spans="1:34" x14ac:dyDescent="0.25">
      <c r="A91">
        <f t="shared" si="17"/>
        <v>8.6999999999999851</v>
      </c>
      <c r="B91">
        <f t="shared" si="10"/>
        <v>9.9999999999999645E-2</v>
      </c>
      <c r="E91">
        <f t="shared" si="11"/>
        <v>6.4903154929659148E-5</v>
      </c>
      <c r="F91">
        <f t="shared" si="18"/>
        <v>2.4491664262651192E-4</v>
      </c>
      <c r="H91">
        <f t="shared" si="19"/>
        <v>1.5490989877808554E-4</v>
      </c>
      <c r="I91">
        <f>J90+B91*(ff(J90,A91))</f>
        <v>1.5787592147726697E-4</v>
      </c>
      <c r="J91">
        <f>J90+B91*AVERAGE(ff(I91,A91),ff(J90,A91))</f>
        <v>1.6182281951419861E-4</v>
      </c>
      <c r="L91">
        <f>ff(P90,A91)</f>
        <v>-3.7332508727467998E-4</v>
      </c>
      <c r="M91">
        <f>ff(P90+L91/2*B91,A91)</f>
        <v>-3.3599257854721211E-4</v>
      </c>
      <c r="N91">
        <f>ff(P90+M91/2*B91,A91)</f>
        <v>-3.3972582941995891E-4</v>
      </c>
      <c r="O91">
        <f>ff(P90+N91*B91,A91)</f>
        <v>-3.0537992139068846E-4</v>
      </c>
      <c r="P91">
        <f>P90+(1/6*L91+1/3*M91+1/3*N91+1/6*O91)*B91</f>
        <v>1.5282684656067828E-4</v>
      </c>
      <c r="R91">
        <f>ff(U90,A91)</f>
        <v>-1.0634851134505769E-4</v>
      </c>
      <c r="S91">
        <f>ff(U90+R91/2*B91,A91)</f>
        <v>-9.5713660210551956E-5</v>
      </c>
      <c r="T91">
        <f>ff(U90-1*R91*B91+S91*2*B91,A91)</f>
        <v>-8.9332749529848524E-5</v>
      </c>
      <c r="U91">
        <f>U90+(1/6*R91+2/3*S91+1/3*T91)*B91</f>
        <v>4.2043111485079513E-5</v>
      </c>
      <c r="W91">
        <f>W90+B91/24*(55*ff(W90,A91)-59*ff(W89,A91)+37*ff(W88,A91)-9*ff(W87,A91))</f>
        <v>1.522354422806557E-4</v>
      </c>
      <c r="AA91">
        <f>A91</f>
        <v>8.6999999999999851</v>
      </c>
      <c r="AB91">
        <f>E91</f>
        <v>6.4903154929659148E-5</v>
      </c>
      <c r="AC91">
        <f>F91</f>
        <v>2.4491664262651192E-4</v>
      </c>
      <c r="AD91">
        <f t="shared" si="12"/>
        <v>1.5490989877808554E-4</v>
      </c>
      <c r="AE91">
        <f t="shared" si="13"/>
        <v>1.6182281951419861E-4</v>
      </c>
      <c r="AF91">
        <f t="shared" si="14"/>
        <v>1.5282684656067828E-4</v>
      </c>
      <c r="AG91">
        <f t="shared" si="15"/>
        <v>4.2043111485079513E-5</v>
      </c>
      <c r="AH91">
        <f t="shared" si="16"/>
        <v>1.522354422806557E-4</v>
      </c>
    </row>
    <row r="92" spans="1:34" x14ac:dyDescent="0.25">
      <c r="A92">
        <f t="shared" si="17"/>
        <v>8.7999999999999847</v>
      </c>
      <c r="B92">
        <f t="shared" si="10"/>
        <v>9.9999999999999645E-2</v>
      </c>
      <c r="E92">
        <f t="shared" si="11"/>
        <v>5.1922523943727361E-5</v>
      </c>
      <c r="F92">
        <f t="shared" si="18"/>
        <v>2.0409720218876005E-4</v>
      </c>
      <c r="H92">
        <f t="shared" si="19"/>
        <v>1.2800986306624369E-4</v>
      </c>
      <c r="I92">
        <f>J91+B92*(ff(J91,A92))</f>
        <v>1.29458255611359E-4</v>
      </c>
      <c r="J92">
        <f>J91+B92*AVERAGE(ff(I92,A92),ff(J91,A92))</f>
        <v>1.3269471200164296E-4</v>
      </c>
      <c r="L92">
        <f>ff(P91,A92)</f>
        <v>-3.0565369312135656E-4</v>
      </c>
      <c r="M92">
        <f>ff(P91+L92/2*B92,A92)</f>
        <v>-2.7508832380922102E-4</v>
      </c>
      <c r="N92">
        <f>ff(P91+M92/2*B92,A92)</f>
        <v>-2.7814486074043457E-4</v>
      </c>
      <c r="O92">
        <f>ff(P91+N92*B92,A92)</f>
        <v>-2.5002472097326986E-4</v>
      </c>
      <c r="P92">
        <f>P91+(1/6*L92+1/3*M92+1/3*N92+1/6*O92)*B92</f>
        <v>1.2512443350744609E-4</v>
      </c>
      <c r="R92">
        <f>ff(U91,A92)</f>
        <v>-8.4086222970159027E-5</v>
      </c>
      <c r="S92">
        <f>ff(U91+R92/2*B92,A92)</f>
        <v>-7.5677600673143157E-5</v>
      </c>
      <c r="T92">
        <f>ff(U91-1*R92*B92+S92*2*B92,A92)</f>
        <v>-7.0632427294933618E-5</v>
      </c>
      <c r="U92">
        <f>U91+(1/6*R92+2/3*S92+1/3*T92)*B92</f>
        <v>3.3242086814202899E-5</v>
      </c>
      <c r="W92">
        <f>W91+B92/24*(55*ff(W91,A92)-59*ff(W90,A92)+37*ff(W89,A92)-9*ff(W88,A92))</f>
        <v>1.2551996102220253E-4</v>
      </c>
      <c r="AA92">
        <f>A92</f>
        <v>8.7999999999999847</v>
      </c>
      <c r="AB92">
        <f>E92</f>
        <v>5.1922523943727361E-5</v>
      </c>
      <c r="AC92">
        <f>F92</f>
        <v>2.0409720218876005E-4</v>
      </c>
      <c r="AD92">
        <f t="shared" si="12"/>
        <v>1.2800986306624369E-4</v>
      </c>
      <c r="AE92">
        <f t="shared" si="13"/>
        <v>1.3269471200164296E-4</v>
      </c>
      <c r="AF92">
        <f t="shared" si="14"/>
        <v>1.2512443350744609E-4</v>
      </c>
      <c r="AG92">
        <f t="shared" si="15"/>
        <v>3.3242086814202899E-5</v>
      </c>
      <c r="AH92">
        <f t="shared" si="16"/>
        <v>1.2551996102220253E-4</v>
      </c>
    </row>
    <row r="93" spans="1:34" x14ac:dyDescent="0.25">
      <c r="A93">
        <f t="shared" si="17"/>
        <v>8.8999999999999844</v>
      </c>
      <c r="B93">
        <f t="shared" si="10"/>
        <v>9.9999999999999645E-2</v>
      </c>
      <c r="E93">
        <f t="shared" si="11"/>
        <v>4.153801915498193E-5</v>
      </c>
      <c r="F93">
        <f t="shared" si="18"/>
        <v>1.700810018239668E-4</v>
      </c>
      <c r="H93">
        <f t="shared" si="19"/>
        <v>1.0580951048947437E-4</v>
      </c>
      <c r="I93">
        <f>J92+B93*(ff(J92,A93))</f>
        <v>1.0615576960131446E-4</v>
      </c>
      <c r="J93">
        <f>J92+B93*AVERAGE(ff(I93,A93),ff(J92,A93))</f>
        <v>1.0880966384134731E-4</v>
      </c>
      <c r="L93">
        <f>ff(P92,A93)</f>
        <v>-2.5024886701489218E-4</v>
      </c>
      <c r="M93">
        <f>ff(P92+L93/2*B93,A93)</f>
        <v>-2.2522398031340305E-4</v>
      </c>
      <c r="N93">
        <f>ff(P92+M93/2*B93,A93)</f>
        <v>-2.2772646898355195E-4</v>
      </c>
      <c r="O93">
        <f>ff(P92+N93*B93,A93)</f>
        <v>-2.0470357321818194E-4</v>
      </c>
      <c r="P93">
        <f>P92+(1/6*L93+1/3*M93+1/3*N93+1/6*O93)*B93</f>
        <v>1.0244354452699643E-4</v>
      </c>
      <c r="R93">
        <f>ff(U92,A93)</f>
        <v>-6.6484173628405797E-5</v>
      </c>
      <c r="S93">
        <f>ff(U92+R93/2*B93,A93)</f>
        <v>-5.9835756265565239E-5</v>
      </c>
      <c r="T93">
        <f>ff(U92-1*R93*B93+S93*2*B93,A93)</f>
        <v>-5.5846705847860907E-5</v>
      </c>
      <c r="U93">
        <f>U92+(1/6*R93+2/3*S93+1/3*T93)*B93</f>
        <v>2.628340997442978E-5</v>
      </c>
      <c r="W93">
        <f>W92+B93/24*(55*ff(W92,A93)-59*ff(W91,A93)+37*ff(W90,A93)-9*ff(W89,A93))</f>
        <v>1.0211711206696737E-4</v>
      </c>
      <c r="AA93">
        <f>A93</f>
        <v>8.8999999999999844</v>
      </c>
      <c r="AB93">
        <f>E93</f>
        <v>4.153801915498193E-5</v>
      </c>
      <c r="AC93">
        <f>F93</f>
        <v>1.700810018239668E-4</v>
      </c>
      <c r="AD93">
        <f t="shared" si="12"/>
        <v>1.0580951048947437E-4</v>
      </c>
      <c r="AE93">
        <f t="shared" si="13"/>
        <v>1.0880966384134731E-4</v>
      </c>
      <c r="AF93">
        <f t="shared" si="14"/>
        <v>1.0244354452699643E-4</v>
      </c>
      <c r="AG93">
        <f t="shared" si="15"/>
        <v>2.628340997442978E-5</v>
      </c>
      <c r="AH93">
        <f t="shared" si="16"/>
        <v>1.0211711206696737E-4</v>
      </c>
    </row>
    <row r="94" spans="1:34" x14ac:dyDescent="0.25">
      <c r="A94">
        <f t="shared" si="17"/>
        <v>8.999999999999984</v>
      </c>
      <c r="B94">
        <f t="shared" si="10"/>
        <v>9.9999999999999645E-2</v>
      </c>
      <c r="E94">
        <f t="shared" si="11"/>
        <v>3.3230415323985576E-5</v>
      </c>
      <c r="F94">
        <f t="shared" si="18"/>
        <v>1.4173416818663909E-4</v>
      </c>
      <c r="H94">
        <f t="shared" si="19"/>
        <v>8.7482291755312333E-5</v>
      </c>
      <c r="I94">
        <f>J93+B94*(ff(J93,A94))</f>
        <v>8.7047731073077925E-5</v>
      </c>
      <c r="J94">
        <f>J93+B94*AVERAGE(ff(I94,A94),ff(J93,A94))</f>
        <v>8.9223924349904855E-5</v>
      </c>
      <c r="L94">
        <f>ff(P93,A94)</f>
        <v>-2.0488708905399286E-4</v>
      </c>
      <c r="M94">
        <f>ff(P93+L94/2*B94,A94)</f>
        <v>-1.8439838014859365E-4</v>
      </c>
      <c r="N94">
        <f>ff(P93+M94/2*B94,A94)</f>
        <v>-1.8644725103913356E-4</v>
      </c>
      <c r="O94">
        <f>ff(P93+N94*B94,A94)</f>
        <v>-1.6759763884616628E-4</v>
      </c>
      <c r="P94">
        <f>P93+(1/6*L94+1/3*M94+1/3*N94+1/6*O94)*B94</f>
        <v>8.3873944689069607E-5</v>
      </c>
      <c r="R94">
        <f>ff(U93,A94)</f>
        <v>-5.256681994885956E-5</v>
      </c>
      <c r="S94">
        <f>ff(U93+R94/2*B94,A94)</f>
        <v>-4.7310137953973622E-5</v>
      </c>
      <c r="T94">
        <f>ff(U93-1*R94*B94+S94*2*B94,A94)</f>
        <v>-4.4156128757042058E-5</v>
      </c>
      <c r="U94">
        <f>U93+(1/6*R94+2/3*S94+1/3*T94)*B94</f>
        <v>2.0781416153115829E-5</v>
      </c>
      <c r="W94">
        <f>W93+B94/24*(55*ff(W93,A94)-59*ff(W92,A94)+37*ff(W91,A94)-9*ff(W90,A94))</f>
        <v>8.4133630808929413E-5</v>
      </c>
      <c r="AA94">
        <f>A94</f>
        <v>8.999999999999984</v>
      </c>
      <c r="AB94">
        <f>E94</f>
        <v>3.3230415323985576E-5</v>
      </c>
      <c r="AC94">
        <f>F94</f>
        <v>1.4173416818663909E-4</v>
      </c>
      <c r="AD94">
        <f t="shared" si="12"/>
        <v>8.7482291755312333E-5</v>
      </c>
      <c r="AE94">
        <f t="shared" si="13"/>
        <v>8.9223924349904855E-5</v>
      </c>
      <c r="AF94">
        <f t="shared" si="14"/>
        <v>8.3873944689069607E-5</v>
      </c>
      <c r="AG94">
        <f t="shared" si="15"/>
        <v>2.0781416153115829E-5</v>
      </c>
      <c r="AH94">
        <f t="shared" si="16"/>
        <v>8.4133630808929413E-5</v>
      </c>
    </row>
    <row r="95" spans="1:34" x14ac:dyDescent="0.25">
      <c r="A95">
        <f t="shared" si="17"/>
        <v>9.0999999999999837</v>
      </c>
      <c r="B95">
        <f t="shared" si="10"/>
        <v>9.9999999999999645E-2</v>
      </c>
      <c r="E95">
        <f t="shared" si="11"/>
        <v>2.6584332259188483E-5</v>
      </c>
      <c r="F95">
        <f t="shared" si="18"/>
        <v>1.1811180682219931E-4</v>
      </c>
      <c r="H95">
        <f t="shared" si="19"/>
        <v>7.2348069540693902E-5</v>
      </c>
      <c r="I95">
        <f>J94+B95*(ff(J94,A95))</f>
        <v>7.1379139479923944E-5</v>
      </c>
      <c r="J95">
        <f>J94+B95*AVERAGE(ff(I95,A95),ff(J94,A95))</f>
        <v>7.3163617966922036E-5</v>
      </c>
      <c r="L95">
        <f>ff(P94,A95)</f>
        <v>-1.6774788937813921E-4</v>
      </c>
      <c r="M95">
        <f>ff(P94+L95/2*B95,A95)</f>
        <v>-1.5097310044032535E-4</v>
      </c>
      <c r="N95">
        <f>ff(P94+M95/2*B95,A95)</f>
        <v>-1.5265057933410673E-4</v>
      </c>
      <c r="O95">
        <f>ff(P94+N95*B95,A95)</f>
        <v>-1.3721777351131798E-4</v>
      </c>
      <c r="P95">
        <f>P94+(1/6*L95+1/3*M95+1/3*N95+1/6*O95)*B95</f>
        <v>6.8670394315097641E-5</v>
      </c>
      <c r="R95">
        <f>ff(U94,A95)</f>
        <v>-4.1562832306231659E-5</v>
      </c>
      <c r="S95">
        <f>ff(U94+R95/2*B95,A95)</f>
        <v>-3.7406549075608508E-5</v>
      </c>
      <c r="T95">
        <f>ff(U94-1*R95*B95+S95*2*B95,A95)</f>
        <v>-3.4912779137234609E-5</v>
      </c>
      <c r="U95">
        <f>U94+(1/6*R95+2/3*S95+1/3*T95)*B95</f>
        <v>1.6431173038396931E-5</v>
      </c>
      <c r="W95">
        <f>W94+B95/24*(55*ff(W94,A95)-59*ff(W93,A95)+37*ff(W92,A95)-9*ff(W91,A95))</f>
        <v>6.8495633643632505E-5</v>
      </c>
      <c r="AA95">
        <f>A95</f>
        <v>9.0999999999999837</v>
      </c>
      <c r="AB95">
        <f>E95</f>
        <v>2.6584332259188483E-5</v>
      </c>
      <c r="AC95">
        <f>F95</f>
        <v>1.1811180682219931E-4</v>
      </c>
      <c r="AD95">
        <f t="shared" si="12"/>
        <v>7.2348069540693902E-5</v>
      </c>
      <c r="AE95">
        <f t="shared" si="13"/>
        <v>7.3163617966922036E-5</v>
      </c>
      <c r="AF95">
        <f t="shared" si="14"/>
        <v>6.8670394315097641E-5</v>
      </c>
      <c r="AG95">
        <f t="shared" si="15"/>
        <v>1.6431173038396931E-5</v>
      </c>
      <c r="AH95">
        <f t="shared" si="16"/>
        <v>6.8495633643632505E-5</v>
      </c>
    </row>
    <row r="96" spans="1:34" x14ac:dyDescent="0.25">
      <c r="A96">
        <f t="shared" si="17"/>
        <v>9.1999999999999833</v>
      </c>
      <c r="B96">
        <f t="shared" si="10"/>
        <v>9.9999999999999645E-2</v>
      </c>
      <c r="E96">
        <f t="shared" si="11"/>
        <v>2.1267465807350806E-5</v>
      </c>
      <c r="F96">
        <f t="shared" si="18"/>
        <v>9.8426505685166154E-5</v>
      </c>
      <c r="H96">
        <f t="shared" si="19"/>
        <v>5.984698574625848E-5</v>
      </c>
      <c r="I96">
        <f>J95+B96*(ff(J95,A96))</f>
        <v>5.8530894373537683E-5</v>
      </c>
      <c r="J96">
        <f>J95+B96*AVERAGE(ff(I96,A96),ff(J95,A96))</f>
        <v>5.9994166732876111E-5</v>
      </c>
      <c r="L96">
        <f>ff(P95,A96)</f>
        <v>-1.3734078863019528E-4</v>
      </c>
      <c r="M96">
        <f>ff(P95+L96/2*B96,A96)</f>
        <v>-1.2360670976717581E-4</v>
      </c>
      <c r="N96">
        <f>ff(P95+M96/2*B96,A96)</f>
        <v>-1.2498011765347774E-4</v>
      </c>
      <c r="O96">
        <f>ff(P95+N96*B96,A96)</f>
        <v>-1.1234476509949982E-4</v>
      </c>
      <c r="P96">
        <f>P95+(1/6*L96+1/3*M96+1/3*N96+1/6*O96)*B96</f>
        <v>5.6222740838914315E-5</v>
      </c>
      <c r="R96">
        <f>ff(U95,A96)</f>
        <v>-3.2862346076793862E-5</v>
      </c>
      <c r="S96">
        <f>ff(U95+R96/2*B96,A96)</f>
        <v>-2.9576111469114486E-5</v>
      </c>
      <c r="T96">
        <f>ff(U95-1*R96*B96+S96*2*B96,A96)</f>
        <v>-2.7604370704506861E-5</v>
      </c>
      <c r="U96">
        <f>U95+(1/6*R96+2/3*S96+1/3*T96)*B96</f>
        <v>1.2991580815692518E-5</v>
      </c>
      <c r="W96">
        <f>W95+B96/24*(55*ff(W95,A96)-59*ff(W94,A96)+37*ff(W93,A96)-9*ff(W92,A96))</f>
        <v>5.6395390894041532E-5</v>
      </c>
      <c r="AA96">
        <f>A96</f>
        <v>9.1999999999999833</v>
      </c>
      <c r="AB96">
        <f>E96</f>
        <v>2.1267465807350806E-5</v>
      </c>
      <c r="AC96">
        <f>F96</f>
        <v>9.8426505685166154E-5</v>
      </c>
      <c r="AD96">
        <f t="shared" si="12"/>
        <v>5.984698574625848E-5</v>
      </c>
      <c r="AE96">
        <f t="shared" si="13"/>
        <v>5.9994166732876111E-5</v>
      </c>
      <c r="AF96">
        <f t="shared" si="14"/>
        <v>5.6222740838914315E-5</v>
      </c>
      <c r="AG96">
        <f t="shared" si="15"/>
        <v>1.2991580815692518E-5</v>
      </c>
      <c r="AH96">
        <f t="shared" si="16"/>
        <v>5.6395390894041532E-5</v>
      </c>
    </row>
    <row r="97" spans="1:34" x14ac:dyDescent="0.25">
      <c r="A97">
        <f t="shared" si="17"/>
        <v>9.2999999999999829</v>
      </c>
      <c r="B97">
        <f t="shared" si="10"/>
        <v>9.9999999999999645E-2</v>
      </c>
      <c r="E97">
        <f t="shared" si="11"/>
        <v>1.7013972645880661E-5</v>
      </c>
      <c r="F97">
        <f t="shared" si="18"/>
        <v>8.2022088070971843E-5</v>
      </c>
      <c r="H97">
        <f t="shared" si="19"/>
        <v>4.9518030358426252E-5</v>
      </c>
      <c r="I97">
        <f>J96+B97*(ff(J96,A97))</f>
        <v>4.799533338630093E-5</v>
      </c>
      <c r="J97">
        <f>J96+B97*AVERAGE(ff(I97,A97),ff(J96,A97))</f>
        <v>4.9195216720958446E-5</v>
      </c>
      <c r="L97">
        <f>ff(P96,A97)</f>
        <v>-1.1244548167782863E-4</v>
      </c>
      <c r="M97">
        <f>ff(P96+L97/2*B97,A97)</f>
        <v>-1.0120093351004581E-4</v>
      </c>
      <c r="N97">
        <f>ff(P96+M97/2*B97,A97)</f>
        <v>-1.0232538832682409E-4</v>
      </c>
      <c r="O97">
        <f>ff(P96+N97*B97,A97)</f>
        <v>-9.1980404012463889E-5</v>
      </c>
      <c r="P97">
        <f>P96+(1/6*L97+1/3*M97+1/3*N97+1/6*O97)*B97</f>
        <v>4.6031432016180479E-5</v>
      </c>
      <c r="R97">
        <f>ff(U96,A97)</f>
        <v>-2.5983161631385036E-5</v>
      </c>
      <c r="S97">
        <f>ff(U96+R97/2*B97,A97)</f>
        <v>-2.3384845468246542E-5</v>
      </c>
      <c r="T97">
        <f>ff(U96-1*R97*B97+S97*2*B97,A97)</f>
        <v>-2.1825855770363442E-5</v>
      </c>
      <c r="U97">
        <f>U96+(1/6*R97+2/3*S97+1/3*T97)*B97</f>
        <v>1.0272009898274226E-5</v>
      </c>
      <c r="W97">
        <f>W96+B97/24*(55*ff(W96,A97)-59*ff(W95,A97)+37*ff(W94,A97)-9*ff(W93,A97))</f>
        <v>4.5942103847994496E-5</v>
      </c>
      <c r="AA97">
        <f>A97</f>
        <v>9.2999999999999829</v>
      </c>
      <c r="AB97">
        <f>E97</f>
        <v>1.7013972645880661E-5</v>
      </c>
      <c r="AC97">
        <f>F97</f>
        <v>8.2022088070971843E-5</v>
      </c>
      <c r="AD97">
        <f t="shared" si="12"/>
        <v>4.9518030358426252E-5</v>
      </c>
      <c r="AE97">
        <f t="shared" si="13"/>
        <v>4.9195216720958446E-5</v>
      </c>
      <c r="AF97">
        <f t="shared" si="14"/>
        <v>4.6031432016180479E-5</v>
      </c>
      <c r="AG97">
        <f t="shared" si="15"/>
        <v>1.0272009898274226E-5</v>
      </c>
      <c r="AH97">
        <f t="shared" si="16"/>
        <v>4.5942103847994496E-5</v>
      </c>
    </row>
    <row r="98" spans="1:34" x14ac:dyDescent="0.25">
      <c r="A98">
        <f t="shared" si="17"/>
        <v>9.3999999999999826</v>
      </c>
      <c r="B98">
        <f t="shared" si="10"/>
        <v>9.9999999999999645E-2</v>
      </c>
      <c r="E98">
        <f t="shared" si="11"/>
        <v>1.3611178116704541E-5</v>
      </c>
      <c r="F98">
        <f t="shared" si="18"/>
        <v>6.8351740059143236E-5</v>
      </c>
      <c r="H98">
        <f t="shared" si="19"/>
        <v>4.0981459087923892E-5</v>
      </c>
      <c r="I98">
        <f>J97+B98*(ff(J97,A98))</f>
        <v>3.9356173376766795E-5</v>
      </c>
      <c r="J98">
        <f>J97+B98*AVERAGE(ff(I98,A98),ff(J97,A98))</f>
        <v>4.0340077711185953E-5</v>
      </c>
      <c r="L98">
        <f>ff(P97,A98)</f>
        <v>-9.2062864032360959E-5</v>
      </c>
      <c r="M98">
        <f>ff(P97+L98/2*B98,A98)</f>
        <v>-8.2856577629124891E-5</v>
      </c>
      <c r="N98">
        <f>ff(P97+M98/2*B98,A98)</f>
        <v>-8.3777206269448497E-5</v>
      </c>
      <c r="O98">
        <f>ff(P97+N98*B98,A98)</f>
        <v>-7.5307422778471319E-5</v>
      </c>
      <c r="P98">
        <f>P97+(1/6*L98+1/3*M98+1/3*N98+1/6*O98)*B98</f>
        <v>3.7687467772714193E-5</v>
      </c>
      <c r="R98">
        <f>ff(U97,A98)</f>
        <v>-2.0544019796548453E-5</v>
      </c>
      <c r="S98">
        <f>ff(U97+R98/2*B98,A98)</f>
        <v>-1.8489617816893614E-5</v>
      </c>
      <c r="T98">
        <f>ff(U97-1*R98*B98+S98*2*B98,A98)</f>
        <v>-1.725697662910071E-5</v>
      </c>
      <c r="U98">
        <f>U97+(1/6*R98+2/3*S98+1/3*T98)*B98</f>
        <v>8.1217358262354962E-6</v>
      </c>
      <c r="W98">
        <f>W97+B98/24*(55*ff(W97,A98)-59*ff(W96,A98)+37*ff(W95,A98)-9*ff(W94,A98))</f>
        <v>3.780357537778382E-5</v>
      </c>
      <c r="AA98">
        <f>A98</f>
        <v>9.3999999999999826</v>
      </c>
      <c r="AB98">
        <f>E98</f>
        <v>1.3611178116704541E-5</v>
      </c>
      <c r="AC98">
        <f>F98</f>
        <v>6.8351740059143236E-5</v>
      </c>
      <c r="AD98">
        <f t="shared" si="12"/>
        <v>4.0981459087923892E-5</v>
      </c>
      <c r="AE98">
        <f t="shared" si="13"/>
        <v>4.0340077711185953E-5</v>
      </c>
      <c r="AF98">
        <f t="shared" si="14"/>
        <v>3.7687467772714193E-5</v>
      </c>
      <c r="AG98">
        <f t="shared" si="15"/>
        <v>8.1217358262354962E-6</v>
      </c>
      <c r="AH98">
        <f t="shared" si="16"/>
        <v>3.780357537778382E-5</v>
      </c>
    </row>
    <row r="99" spans="1:34" x14ac:dyDescent="0.25">
      <c r="A99">
        <f t="shared" si="17"/>
        <v>9.4999999999999822</v>
      </c>
      <c r="B99">
        <f t="shared" si="10"/>
        <v>9.9999999999999645E-2</v>
      </c>
      <c r="E99">
        <f t="shared" si="11"/>
        <v>1.0888942493363642E-5</v>
      </c>
      <c r="F99">
        <f t="shared" si="18"/>
        <v>5.6959783382619395E-5</v>
      </c>
      <c r="H99">
        <f t="shared" si="19"/>
        <v>3.3924362937991519E-5</v>
      </c>
      <c r="I99">
        <f>J98+B99*(ff(J98,A99))</f>
        <v>3.2272062168948793E-5</v>
      </c>
      <c r="J99">
        <f>J98+B99*AVERAGE(ff(I99,A99),ff(J98,A99))</f>
        <v>3.3078863723172503E-5</v>
      </c>
      <c r="L99">
        <f>ff(P98,A99)</f>
        <v>-7.5374935545428386E-5</v>
      </c>
      <c r="M99">
        <f>ff(P98+L99/2*B99,A99)</f>
        <v>-6.7837441990885577E-5</v>
      </c>
      <c r="N99">
        <f>ff(P98+M99/2*B99,A99)</f>
        <v>-6.859119134633985E-5</v>
      </c>
      <c r="O99">
        <f>ff(P98+N99*B99,A99)</f>
        <v>-6.165669727616047E-5</v>
      </c>
      <c r="P99">
        <f>P98+(1/6*L99+1/3*M99+1/3*N99+1/6*O99)*B99</f>
        <v>3.085598611444689E-5</v>
      </c>
      <c r="R99">
        <f>ff(U98,A99)</f>
        <v>-1.6243471652470992E-5</v>
      </c>
      <c r="S99">
        <f>ff(U98+R99/2*B99,A99)</f>
        <v>-1.46191244872239E-5</v>
      </c>
      <c r="T99">
        <f>ff(U98-1*R99*B99+S99*2*B99,A99)</f>
        <v>-1.3644516188075638E-5</v>
      </c>
      <c r="U99">
        <f>U98+(1/6*R99+2/3*S99+1/3*T99)*B99</f>
        <v>6.4215857932768714E-6</v>
      </c>
      <c r="W99">
        <f>W98+B99/24*(55*ff(W98,A99)-59*ff(W97,A99)+37*ff(W96,A99)-9*ff(W95,A99))</f>
        <v>3.0813731385839856E-5</v>
      </c>
      <c r="AA99">
        <f>A99</f>
        <v>9.4999999999999822</v>
      </c>
      <c r="AB99">
        <f>E99</f>
        <v>1.0888942493363642E-5</v>
      </c>
      <c r="AC99">
        <f>F99</f>
        <v>5.6959783382619395E-5</v>
      </c>
      <c r="AD99">
        <f t="shared" si="12"/>
        <v>3.3924362937991519E-5</v>
      </c>
      <c r="AE99">
        <f t="shared" si="13"/>
        <v>3.3078863723172503E-5</v>
      </c>
      <c r="AF99">
        <f t="shared" si="14"/>
        <v>3.085598611444689E-5</v>
      </c>
      <c r="AG99">
        <f t="shared" si="15"/>
        <v>6.4215857932768714E-6</v>
      </c>
      <c r="AH99">
        <f t="shared" si="16"/>
        <v>3.0813731385839856E-5</v>
      </c>
    </row>
    <row r="100" spans="1:34" x14ac:dyDescent="0.25">
      <c r="A100">
        <f t="shared" si="17"/>
        <v>9.5999999999999819</v>
      </c>
      <c r="B100">
        <f t="shared" ref="B100:B104" si="20">A100-A99</f>
        <v>9.9999999999999645E-2</v>
      </c>
      <c r="E100">
        <f t="shared" ref="E100:E104" si="21">E99+B100*(ff(E99,A100))</f>
        <v>8.7111539946909209E-6</v>
      </c>
      <c r="F100">
        <f t="shared" si="18"/>
        <v>4.7466486152182858E-5</v>
      </c>
      <c r="H100">
        <f t="shared" si="19"/>
        <v>2.8088820073436888E-5</v>
      </c>
      <c r="I100">
        <f>J99+B100*(ff(J99,A100))</f>
        <v>2.6463090978538024E-5</v>
      </c>
      <c r="J100">
        <f>J99+B100*AVERAGE(ff(I100,A100),ff(J99,A100))</f>
        <v>2.7124668253001471E-5</v>
      </c>
      <c r="L100">
        <f>ff(P99,A100)</f>
        <v>-6.1711972228893779E-5</v>
      </c>
      <c r="M100">
        <f>ff(P99+L100/2*B100,A100)</f>
        <v>-5.554077500600442E-5</v>
      </c>
      <c r="N100">
        <f>ff(P99+M100/2*B100,A100)</f>
        <v>-5.6157894728293358E-5</v>
      </c>
      <c r="O100">
        <f>ff(P99+N100*B100,A100)</f>
        <v>-5.0480393283235145E-5</v>
      </c>
      <c r="P100">
        <f>P99+(1/6*L100+1/3*M100+1/3*N100+1/6*O100)*B100</f>
        <v>2.526282436476817E-5</v>
      </c>
      <c r="R100">
        <f>ff(U99,A100)</f>
        <v>-1.2843171586553743E-5</v>
      </c>
      <c r="S100">
        <f>ff(U99+R100/2*B100,A100)</f>
        <v>-1.1558854427898373E-5</v>
      </c>
      <c r="T100">
        <f>ff(U99-1*R100*B100+S100*2*B100,A100)</f>
        <v>-1.0788264132705148E-5</v>
      </c>
      <c r="U100">
        <f>U99+(1/6*R100+2/3*S100+1/3*T100)*B100</f>
        <v>5.0773338338842506E-6</v>
      </c>
      <c r="W100">
        <f>W99+B100/24*(55*ff(W99,A100)-59*ff(W98,A100)+37*ff(W97,A100)-9*ff(W96,A100))</f>
        <v>2.5341701358661798E-5</v>
      </c>
      <c r="AA100">
        <f>A100</f>
        <v>9.5999999999999819</v>
      </c>
      <c r="AB100">
        <f>E100</f>
        <v>8.7111539946909209E-6</v>
      </c>
      <c r="AC100">
        <f>F100</f>
        <v>4.7466486152182858E-5</v>
      </c>
      <c r="AD100">
        <f t="shared" si="12"/>
        <v>2.8088820073436888E-5</v>
      </c>
      <c r="AE100">
        <f t="shared" si="13"/>
        <v>2.7124668253001471E-5</v>
      </c>
      <c r="AF100">
        <f t="shared" si="14"/>
        <v>2.526282436476817E-5</v>
      </c>
      <c r="AG100">
        <f t="shared" si="15"/>
        <v>5.0773338338842506E-6</v>
      </c>
      <c r="AH100">
        <f t="shared" si="16"/>
        <v>2.5341701358661798E-5</v>
      </c>
    </row>
    <row r="101" spans="1:34" x14ac:dyDescent="0.25">
      <c r="A101">
        <f t="shared" si="17"/>
        <v>9.6999999999999815</v>
      </c>
      <c r="B101">
        <f t="shared" si="20"/>
        <v>9.9999999999999645E-2</v>
      </c>
      <c r="E101">
        <f t="shared" si="21"/>
        <v>6.9689231957527428E-6</v>
      </c>
      <c r="F101">
        <f t="shared" si="18"/>
        <v>3.9555405126819072E-5</v>
      </c>
      <c r="H101">
        <f t="shared" si="19"/>
        <v>2.3262164161285906E-5</v>
      </c>
      <c r="I101">
        <f>J100+B101*(ff(J100,A101))</f>
        <v>2.1699734602401197E-5</v>
      </c>
      <c r="J101">
        <f>J100+B101*AVERAGE(ff(I101,A101),ff(J100,A101))</f>
        <v>2.2242227967461221E-5</v>
      </c>
      <c r="L101">
        <f>ff(P100,A101)</f>
        <v>-5.0525648729536339E-5</v>
      </c>
      <c r="M101">
        <f>ff(P100+L101/2*B101,A101)</f>
        <v>-4.5473083856582726E-5</v>
      </c>
      <c r="N101">
        <f>ff(P100+M101/2*B101,A101)</f>
        <v>-4.5978340343878079E-5</v>
      </c>
      <c r="O101">
        <f>ff(P100+N101*B101,A101)</f>
        <v>-4.1329980660760757E-5</v>
      </c>
      <c r="P101">
        <f>P100+(1/6*L101+1/3*M101+1/3*N101+1/6*O101)*B101</f>
        <v>2.0683516401581207E-5</v>
      </c>
      <c r="R101">
        <f>ff(U100,A101)</f>
        <v>-1.0154667667768501E-5</v>
      </c>
      <c r="S101">
        <f>ff(U100+R101/2*B101,A101)</f>
        <v>-9.1392009009916553E-6</v>
      </c>
      <c r="T101">
        <f>ff(U100-1*R101*B101+S101*2*B101,A101)</f>
        <v>-8.5299208409255458E-6</v>
      </c>
      <c r="U101">
        <f>U100+(1/6*R101+2/3*S101+1/3*T101)*B101</f>
        <v>4.0144786179911506E-6</v>
      </c>
      <c r="W101">
        <f>W100+B101/24*(55*ff(W100,A101)-59*ff(W99,A101)+37*ff(W98,A101)-9*ff(W97,A101))</f>
        <v>2.0666394881095997E-5</v>
      </c>
      <c r="AA101">
        <f>A101</f>
        <v>9.6999999999999815</v>
      </c>
      <c r="AB101">
        <f>E101</f>
        <v>6.9689231957527428E-6</v>
      </c>
      <c r="AC101">
        <f>F101</f>
        <v>3.9555405126819072E-5</v>
      </c>
      <c r="AD101">
        <f t="shared" si="12"/>
        <v>2.3262164161285906E-5</v>
      </c>
      <c r="AE101">
        <f t="shared" si="13"/>
        <v>2.2242227967461221E-5</v>
      </c>
      <c r="AF101">
        <f t="shared" si="14"/>
        <v>2.0683516401581207E-5</v>
      </c>
      <c r="AG101">
        <f t="shared" si="15"/>
        <v>4.0144786179911506E-6</v>
      </c>
      <c r="AH101">
        <f t="shared" si="16"/>
        <v>2.0666394881095997E-5</v>
      </c>
    </row>
    <row r="102" spans="1:34" x14ac:dyDescent="0.25">
      <c r="A102">
        <f t="shared" si="17"/>
        <v>9.7999999999999812</v>
      </c>
      <c r="B102">
        <f t="shared" si="20"/>
        <v>9.9999999999999645E-2</v>
      </c>
      <c r="E102">
        <f t="shared" si="21"/>
        <v>5.5751385566021997E-6</v>
      </c>
      <c r="F102">
        <f t="shared" si="18"/>
        <v>3.2962837605682581E-5</v>
      </c>
      <c r="H102">
        <f t="shared" si="19"/>
        <v>1.926898808114239E-5</v>
      </c>
      <c r="I102">
        <f>J101+B102*(ff(J101,A102))</f>
        <v>1.7793782373968993E-5</v>
      </c>
      <c r="J102">
        <f>J101+B102*AVERAGE(ff(I102,A102),ff(J101,A102))</f>
        <v>1.8238626933318215E-5</v>
      </c>
      <c r="L102">
        <f>ff(P101,A102)</f>
        <v>-4.1367032803162414E-5</v>
      </c>
      <c r="M102">
        <f>ff(P101+L102/2*B102,A102)</f>
        <v>-3.7230329522846185E-5</v>
      </c>
      <c r="N102">
        <f>ff(P101+M102/2*B102,A102)</f>
        <v>-3.7643999850877811E-5</v>
      </c>
      <c r="O102">
        <f>ff(P101+N102*B102,A102)</f>
        <v>-3.3838232832986876E-5</v>
      </c>
      <c r="P102">
        <f>P101+(1/6*L102+1/3*M102+1/3*N102+1/6*O102)*B102</f>
        <v>1.6934284328521265E-5</v>
      </c>
      <c r="R102">
        <f>ff(U101,A102)</f>
        <v>-8.0289572359823013E-6</v>
      </c>
      <c r="S102">
        <f>ff(U101+R102/2*B102,A102)</f>
        <v>-7.2260615123840738E-6</v>
      </c>
      <c r="T102">
        <f>ff(U101-1*R102*B102+S102*2*B102,A102)</f>
        <v>-6.7443240782251374E-6</v>
      </c>
      <c r="U102">
        <f>U101+(1/6*R102+2/3*S102+1/3*T102)*B102</f>
        <v>3.1741144272916726E-6</v>
      </c>
      <c r="W102">
        <f>W101+B102/24*(55*ff(W101,A102)-59*ff(W100,A102)+37*ff(W99,A102)-9*ff(W98,A102))</f>
        <v>1.6988334704635559E-5</v>
      </c>
      <c r="AA102">
        <f>A102</f>
        <v>9.7999999999999812</v>
      </c>
      <c r="AB102">
        <f>E102</f>
        <v>5.5751385566021997E-6</v>
      </c>
      <c r="AC102">
        <f>F102</f>
        <v>3.2962837605682581E-5</v>
      </c>
      <c r="AD102">
        <f t="shared" si="12"/>
        <v>1.926898808114239E-5</v>
      </c>
      <c r="AE102">
        <f t="shared" si="13"/>
        <v>1.8238626933318215E-5</v>
      </c>
      <c r="AF102">
        <f t="shared" si="14"/>
        <v>1.6934284328521265E-5</v>
      </c>
      <c r="AG102">
        <f t="shared" si="15"/>
        <v>3.1741144272916726E-6</v>
      </c>
      <c r="AH102">
        <f t="shared" si="16"/>
        <v>1.6988334704635559E-5</v>
      </c>
    </row>
    <row r="103" spans="1:34" x14ac:dyDescent="0.25">
      <c r="A103">
        <f t="shared" si="17"/>
        <v>9.8999999999999808</v>
      </c>
      <c r="B103">
        <f t="shared" si="20"/>
        <v>9.9999999999999645E-2</v>
      </c>
      <c r="E103">
        <f t="shared" si="21"/>
        <v>4.460110845281764E-6</v>
      </c>
      <c r="F103">
        <f t="shared" si="18"/>
        <v>2.7469031338068832E-5</v>
      </c>
      <c r="H103">
        <f t="shared" si="19"/>
        <v>1.5964571091675298E-5</v>
      </c>
      <c r="I103">
        <f>J102+B103*(ff(J102,A103))</f>
        <v>1.4590901546654585E-5</v>
      </c>
      <c r="J103">
        <f>J102+B103*AVERAGE(ff(I103,A103),ff(J102,A103))</f>
        <v>1.4955674085320946E-5</v>
      </c>
      <c r="L103">
        <f>ff(P102,A103)</f>
        <v>-3.3868568657042531E-5</v>
      </c>
      <c r="M103">
        <f>ff(P102+L103/2*B103,A103)</f>
        <v>-3.0481711791338288E-5</v>
      </c>
      <c r="N103">
        <f>ff(P102+M103/2*B103,A103)</f>
        <v>-3.0820397477908714E-5</v>
      </c>
      <c r="O103">
        <f>ff(P102+N103*B103,A103)</f>
        <v>-2.7704489161460809E-5</v>
      </c>
      <c r="P103">
        <f>P102+(1/6*L103+1/3*M103+1/3*N103+1/6*O103)*B103</f>
        <v>1.3864663055904654E-5</v>
      </c>
      <c r="R103">
        <f>ff(U102,A103)</f>
        <v>-6.3482288545833451E-6</v>
      </c>
      <c r="S103">
        <f>ff(U102+R103/2*B103,A103)</f>
        <v>-5.7134059691250129E-6</v>
      </c>
      <c r="T103">
        <f>ff(U102-1*R103*B103+S103*2*B103,A103)</f>
        <v>-5.3325122378500124E-6</v>
      </c>
      <c r="U103">
        <f>U102+(1/6*R103+2/3*S103+1/3*T103)*B103</f>
        <v>2.5096664738452844E-6</v>
      </c>
      <c r="W103">
        <f>W102+B103/24*(55*ff(W102,A103)-59*ff(W101,A103)+37*ff(W100,A103)-9*ff(W99,A103))</f>
        <v>1.3860330716567072E-5</v>
      </c>
      <c r="AA103">
        <f>A103</f>
        <v>9.8999999999999808</v>
      </c>
      <c r="AB103">
        <f>E103</f>
        <v>4.460110845281764E-6</v>
      </c>
      <c r="AC103">
        <f>F103</f>
        <v>2.7469031338068832E-5</v>
      </c>
      <c r="AD103">
        <f t="shared" si="12"/>
        <v>1.5964571091675298E-5</v>
      </c>
      <c r="AE103">
        <f t="shared" si="13"/>
        <v>1.4955674085320946E-5</v>
      </c>
      <c r="AF103">
        <f t="shared" si="14"/>
        <v>1.3864663055904654E-5</v>
      </c>
      <c r="AG103">
        <f t="shared" si="15"/>
        <v>2.5096664738452844E-6</v>
      </c>
      <c r="AH103">
        <f t="shared" si="16"/>
        <v>1.3860330716567072E-5</v>
      </c>
    </row>
    <row r="104" spans="1:34" x14ac:dyDescent="0.25">
      <c r="A104">
        <f t="shared" si="17"/>
        <v>9.9999999999999805</v>
      </c>
      <c r="B104">
        <f t="shared" si="20"/>
        <v>9.9999999999999645E-2</v>
      </c>
      <c r="E104">
        <f t="shared" si="21"/>
        <v>3.5680886762254143E-6</v>
      </c>
      <c r="F104">
        <f t="shared" si="18"/>
        <v>2.2890859448390707E-5</v>
      </c>
      <c r="H104">
        <f t="shared" si="19"/>
        <v>1.322947406230806E-5</v>
      </c>
      <c r="I104">
        <f>J103+B104*(ff(J103,A104))</f>
        <v>1.1964539268256768E-5</v>
      </c>
      <c r="J104">
        <f>J103+B104*AVERAGE(ff(I104,A104),ff(J103,A104))</f>
        <v>1.2263652749963184E-5</v>
      </c>
      <c r="L104">
        <f>ff(P103,A104)</f>
        <v>-2.7729326111809308E-5</v>
      </c>
      <c r="M104">
        <f>ff(P103+L104/2*B104,A104)</f>
        <v>-2.4956393500628386E-5</v>
      </c>
      <c r="N104">
        <f>ff(P103+M104/2*B104,A104)</f>
        <v>-2.5233686761746477E-5</v>
      </c>
      <c r="O104">
        <f>ff(P103+N104*B104,A104)</f>
        <v>-2.2682588759460029E-5</v>
      </c>
      <c r="P104">
        <f>P103+(1/6*L104+1/3*M104+1/3*N104+1/6*O104)*B104</f>
        <v>1.1351461799304346E-5</v>
      </c>
      <c r="R104">
        <f>ff(U103,A104)</f>
        <v>-5.0193329476905687E-6</v>
      </c>
      <c r="S104">
        <f>ff(U103+R104/2*B104,A104)</f>
        <v>-4.5173996529215136E-6</v>
      </c>
      <c r="T104">
        <f>ff(U103-1*R104*B104+S104*2*B104,A104)</f>
        <v>-4.2162396760600799E-6</v>
      </c>
      <c r="U104">
        <f>U103+(1/6*R104+2/3*S104+1/3*T104)*B104</f>
        <v>1.9843096253203397E-6</v>
      </c>
      <c r="W104">
        <f>W103+B104/24*(55*ff(W103,A104)-59*ff(W102,A104)+37*ff(W101,A104)-9*ff(W100,A104))</f>
        <v>1.138876621481469E-5</v>
      </c>
      <c r="AA104">
        <f>A104</f>
        <v>9.9999999999999805</v>
      </c>
      <c r="AB104">
        <f>E104</f>
        <v>3.5680886762254143E-6</v>
      </c>
      <c r="AC104">
        <f>F104</f>
        <v>2.2890859448390707E-5</v>
      </c>
      <c r="AD104">
        <f t="shared" si="12"/>
        <v>1.322947406230806E-5</v>
      </c>
      <c r="AE104">
        <f t="shared" si="13"/>
        <v>1.2263652749963184E-5</v>
      </c>
      <c r="AF104">
        <f t="shared" si="14"/>
        <v>1.1351461799304346E-5</v>
      </c>
      <c r="AG104">
        <f t="shared" si="15"/>
        <v>1.9843096253203397E-6</v>
      </c>
      <c r="AH104">
        <f t="shared" si="16"/>
        <v>1.138876621481469E-5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H14"/>
  <sheetViews>
    <sheetView tabSelected="1" workbookViewId="0">
      <pane xSplit="2" ySplit="3" topLeftCell="W4" activePane="bottomRight" state="frozen"/>
      <selection pane="topRight" activeCell="C1" sqref="C1"/>
      <selection pane="bottomLeft" activeCell="A4" sqref="A4"/>
      <selection pane="bottomRight" activeCell="Z10" sqref="Z10"/>
    </sheetView>
  </sheetViews>
  <sheetFormatPr defaultRowHeight="15" x14ac:dyDescent="0.25"/>
  <cols>
    <col min="2" max="2" width="11.5703125" hidden="1" customWidth="1"/>
    <col min="3" max="4" width="9.140625" customWidth="1"/>
    <col min="5" max="5" width="16" customWidth="1"/>
    <col min="6" max="7" width="15.42578125" bestFit="1" customWidth="1"/>
    <col min="8" max="8" width="17" customWidth="1"/>
    <col min="9" max="9" width="11.42578125" customWidth="1"/>
    <col min="10" max="10" width="16" customWidth="1"/>
    <col min="30" max="30" width="15.85546875" customWidth="1"/>
    <col min="31" max="31" width="16" customWidth="1"/>
    <col min="34" max="34" width="16.7109375" customWidth="1"/>
  </cols>
  <sheetData>
    <row r="2" spans="1:34" x14ac:dyDescent="0.25">
      <c r="F2" t="s">
        <v>2</v>
      </c>
    </row>
    <row r="3" spans="1:34" x14ac:dyDescent="0.25">
      <c r="A3" t="s">
        <v>20</v>
      </c>
      <c r="B3" t="s">
        <v>10</v>
      </c>
      <c r="E3" t="s">
        <v>1</v>
      </c>
      <c r="F3" t="s">
        <v>22</v>
      </c>
      <c r="H3" t="s">
        <v>13</v>
      </c>
      <c r="I3" t="s">
        <v>14</v>
      </c>
      <c r="J3" t="s">
        <v>16</v>
      </c>
      <c r="L3" t="s">
        <v>3</v>
      </c>
      <c r="M3" t="s">
        <v>4</v>
      </c>
      <c r="N3" t="s">
        <v>5</v>
      </c>
      <c r="O3" t="s">
        <v>6</v>
      </c>
      <c r="P3" t="s">
        <v>17</v>
      </c>
      <c r="R3" t="s">
        <v>3</v>
      </c>
      <c r="S3" t="s">
        <v>4</v>
      </c>
      <c r="T3" t="s">
        <v>5</v>
      </c>
      <c r="U3" t="s">
        <v>18</v>
      </c>
      <c r="W3" t="s">
        <v>19</v>
      </c>
      <c r="AA3" t="s">
        <v>21</v>
      </c>
      <c r="AB3" t="str">
        <f>E3</f>
        <v>euler, fwd</v>
      </c>
      <c r="AC3" t="str">
        <f>F2</f>
        <v>euler, backward</v>
      </c>
      <c r="AD3" t="str">
        <f>H3</f>
        <v>trapezoidal, impl</v>
      </c>
      <c r="AE3" t="str">
        <f>J3</f>
        <v>trapezoidal, expl</v>
      </c>
      <c r="AF3" t="str">
        <f>P3</f>
        <v>RK4</v>
      </c>
      <c r="AG3" t="str">
        <f>U3</f>
        <v>RK3</v>
      </c>
      <c r="AH3" t="str">
        <f>W3</f>
        <v>Adams-Bashforth</v>
      </c>
    </row>
    <row r="4" spans="1:34" x14ac:dyDescent="0.25">
      <c r="A4">
        <v>0</v>
      </c>
      <c r="E4">
        <v>0.1</v>
      </c>
      <c r="F4">
        <v>0.1</v>
      </c>
      <c r="H4">
        <v>0.1</v>
      </c>
      <c r="J4">
        <v>0.1</v>
      </c>
      <c r="P4">
        <v>0.1</v>
      </c>
      <c r="U4">
        <v>0.1</v>
      </c>
      <c r="W4">
        <v>0.1</v>
      </c>
      <c r="AA4">
        <f>A4</f>
        <v>0</v>
      </c>
      <c r="AB4">
        <f>E4</f>
        <v>0.1</v>
      </c>
      <c r="AC4">
        <f>F4</f>
        <v>0.1</v>
      </c>
      <c r="AD4">
        <f t="shared" ref="AD4:AD67" si="0">H4</f>
        <v>0.1</v>
      </c>
      <c r="AE4">
        <f t="shared" ref="AE4:AE67" si="1">J4</f>
        <v>0.1</v>
      </c>
      <c r="AF4">
        <f t="shared" ref="AF4:AF67" si="2">P4</f>
        <v>0.1</v>
      </c>
      <c r="AG4">
        <f t="shared" ref="AG4:AG67" si="3">U4</f>
        <v>0.1</v>
      </c>
      <c r="AH4">
        <f t="shared" ref="AH4:AH67" si="4">W4</f>
        <v>0.1</v>
      </c>
    </row>
    <row r="5" spans="1:34" x14ac:dyDescent="0.25">
      <c r="A5">
        <f>A4+1</f>
        <v>1</v>
      </c>
      <c r="B5">
        <f t="shared" ref="B5:B68" si="5">A5-A4</f>
        <v>1</v>
      </c>
      <c r="E5">
        <f>E4+B5*(ff(E4,A5))</f>
        <v>0.4</v>
      </c>
      <c r="F5">
        <f>IF(A5&lt;5,(F4+0.5*B5)/(2*B5+1),(F4)/(2*B5+1) )</f>
        <v>0.19999999999999998</v>
      </c>
      <c r="H5">
        <f>AVERAGE(F5,E5)</f>
        <v>0.3</v>
      </c>
      <c r="I5">
        <f>J4+B5*(ff(J4,A5))</f>
        <v>0.4</v>
      </c>
      <c r="J5">
        <f>J4+B5*AVERAGE(ff(I5,A5),ff(J4,A5))</f>
        <v>9.9999999999999978E-2</v>
      </c>
      <c r="L5">
        <f>ff(P4,A5)</f>
        <v>0.3</v>
      </c>
      <c r="M5">
        <f>ff(P4+L5/2*B5,A5)</f>
        <v>0</v>
      </c>
      <c r="N5">
        <f>ff(P4+M5/2*B5,A5)</f>
        <v>0.3</v>
      </c>
      <c r="O5">
        <f>ff(P4+N5*B5,A5)</f>
        <v>-0.30000000000000004</v>
      </c>
      <c r="P5">
        <f>P4+(1/6*L5+1/3*M5+1/3*N5+1/6*O5)*B5</f>
        <v>0.2</v>
      </c>
      <c r="R5">
        <f>ff(U4,A5)</f>
        <v>0.3</v>
      </c>
      <c r="S5">
        <f>ff(U4+R5/2*B5,A5)</f>
        <v>0</v>
      </c>
      <c r="T5">
        <f>ff(U4-1*R5*B5+S5*2*B5,A5)</f>
        <v>0.89999999999999991</v>
      </c>
      <c r="U5">
        <f>U4+(1/6*R5+2/3*S5+1/3*T5)*B5</f>
        <v>0.44999999999999996</v>
      </c>
      <c r="W5">
        <f>E5</f>
        <v>0.4</v>
      </c>
      <c r="AA5">
        <f>A5</f>
        <v>1</v>
      </c>
      <c r="AB5">
        <f>E5</f>
        <v>0.4</v>
      </c>
      <c r="AC5">
        <f>F5</f>
        <v>0.19999999999999998</v>
      </c>
      <c r="AD5">
        <f t="shared" si="0"/>
        <v>0.3</v>
      </c>
      <c r="AE5">
        <f t="shared" si="1"/>
        <v>9.9999999999999978E-2</v>
      </c>
      <c r="AF5">
        <f t="shared" si="2"/>
        <v>0.2</v>
      </c>
      <c r="AG5">
        <f t="shared" si="3"/>
        <v>0.44999999999999996</v>
      </c>
      <c r="AH5">
        <f t="shared" si="4"/>
        <v>0.4</v>
      </c>
    </row>
    <row r="6" spans="1:34" x14ac:dyDescent="0.25">
      <c r="A6">
        <f t="shared" ref="A6:A14" si="6">A5+1</f>
        <v>2</v>
      </c>
      <c r="B6">
        <f t="shared" si="5"/>
        <v>1</v>
      </c>
      <c r="E6">
        <f>E5+B6*(ff(E5,A6))</f>
        <v>9.9999999999999978E-2</v>
      </c>
      <c r="F6">
        <f>IF(A6&lt;5,(F5+0.5*B6)/(2*B6+1),(F5)/(2*B6+1) )</f>
        <v>0.23333333333333331</v>
      </c>
      <c r="H6">
        <f t="shared" ref="H6:H69" si="7">AVERAGE(F6,E6)</f>
        <v>0.16666666666666663</v>
      </c>
      <c r="I6">
        <f>J5+B6*(ff(J5,A6))</f>
        <v>0.4</v>
      </c>
      <c r="J6">
        <f>J5+B6*AVERAGE(ff(I6,A6),ff(J5,A6))</f>
        <v>9.9999999999999978E-2</v>
      </c>
      <c r="L6">
        <f>ff(P5,A6)</f>
        <v>9.9999999999999978E-2</v>
      </c>
      <c r="M6">
        <f>ff(P5+L6/2*B6,A6)</f>
        <v>0</v>
      </c>
      <c r="N6">
        <f>ff(P5+M6/2*B6,A6)</f>
        <v>9.9999999999999978E-2</v>
      </c>
      <c r="O6">
        <f>ff(P5+N6*B6,A6)</f>
        <v>-9.9999999999999978E-2</v>
      </c>
      <c r="P6">
        <f>P5+(1/6*L6+1/3*M6+1/3*N6+1/6*O6)*B6</f>
        <v>0.23333333333333334</v>
      </c>
      <c r="R6">
        <f>ff(U5,A6)</f>
        <v>-0.39999999999999991</v>
      </c>
      <c r="S6">
        <f>ff(U5+R6/2*B6,A6)</f>
        <v>0</v>
      </c>
      <c r="T6">
        <f>ff(U5-1*R6*B6+S6*2*B6,A6)</f>
        <v>-1.1999999999999997</v>
      </c>
      <c r="U6">
        <f>U5+(1/6*R6+2/3*S6+1/3*T6)*B6</f>
        <v>-1.6666666666666607E-2</v>
      </c>
      <c r="W6">
        <f>E6</f>
        <v>9.9999999999999978E-2</v>
      </c>
      <c r="AA6">
        <f>A6</f>
        <v>2</v>
      </c>
      <c r="AB6">
        <f>E6</f>
        <v>9.9999999999999978E-2</v>
      </c>
      <c r="AC6">
        <f>F6</f>
        <v>0.23333333333333331</v>
      </c>
      <c r="AD6">
        <f t="shared" si="0"/>
        <v>0.16666666666666663</v>
      </c>
      <c r="AE6">
        <f t="shared" si="1"/>
        <v>9.9999999999999978E-2</v>
      </c>
      <c r="AF6">
        <f t="shared" si="2"/>
        <v>0.23333333333333334</v>
      </c>
      <c r="AG6">
        <f t="shared" si="3"/>
        <v>-1.6666666666666607E-2</v>
      </c>
      <c r="AH6">
        <f t="shared" si="4"/>
        <v>9.9999999999999978E-2</v>
      </c>
    </row>
    <row r="7" spans="1:34" x14ac:dyDescent="0.25">
      <c r="A7">
        <f t="shared" si="6"/>
        <v>3</v>
      </c>
      <c r="B7">
        <f t="shared" si="5"/>
        <v>1</v>
      </c>
      <c r="E7">
        <f>E6+B7*(ff(E6,A7))</f>
        <v>0.4</v>
      </c>
      <c r="F7">
        <f>IF(A7&lt;5,(F6+0.5*B7)/(2*B7+1),(F6)/(2*B7+1) )</f>
        <v>0.24444444444444444</v>
      </c>
      <c r="H7">
        <f t="shared" si="7"/>
        <v>0.32222222222222224</v>
      </c>
      <c r="I7">
        <f>J6+B7*(ff(J6,A7))</f>
        <v>0.4</v>
      </c>
      <c r="J7">
        <f>J6+B7*AVERAGE(ff(I7,A7),ff(J6,A7))</f>
        <v>9.9999999999999978E-2</v>
      </c>
      <c r="L7">
        <f>ff(P6,A7)</f>
        <v>3.3333333333333326E-2</v>
      </c>
      <c r="M7">
        <f>ff(P6+L7/2*B7,A7)</f>
        <v>0</v>
      </c>
      <c r="N7">
        <f>ff(P6+M7/2*B7,A7)</f>
        <v>3.3333333333333326E-2</v>
      </c>
      <c r="O7">
        <f>ff(P6+N7*B7,A7)</f>
        <v>-3.3333333333333326E-2</v>
      </c>
      <c r="P7">
        <f>P6+(1/6*L7+1/3*M7+1/3*N7+1/6*O7)*B7</f>
        <v>0.24444444444444444</v>
      </c>
      <c r="R7">
        <f>ff(U6,A7)</f>
        <v>0.53333333333333321</v>
      </c>
      <c r="S7">
        <f>ff(U6+R7/2*B7,A7)</f>
        <v>0</v>
      </c>
      <c r="T7">
        <f>ff(U6-1*R7*B7+S7*2*B7,A7)</f>
        <v>1.5999999999999996</v>
      </c>
      <c r="U7">
        <f>U6+(1/6*R7+2/3*S7+1/3*T7)*B7</f>
        <v>0.60555555555555551</v>
      </c>
      <c r="W7">
        <f>E7</f>
        <v>0.4</v>
      </c>
      <c r="AA7">
        <f>A7</f>
        <v>3</v>
      </c>
      <c r="AB7">
        <f>E7</f>
        <v>0.4</v>
      </c>
      <c r="AC7">
        <f>F7</f>
        <v>0.24444444444444444</v>
      </c>
      <c r="AD7">
        <f t="shared" si="0"/>
        <v>0.32222222222222224</v>
      </c>
      <c r="AE7">
        <f t="shared" si="1"/>
        <v>9.9999999999999978E-2</v>
      </c>
      <c r="AF7">
        <f t="shared" si="2"/>
        <v>0.24444444444444444</v>
      </c>
      <c r="AG7">
        <f t="shared" si="3"/>
        <v>0.60555555555555551</v>
      </c>
      <c r="AH7">
        <f t="shared" si="4"/>
        <v>0.4</v>
      </c>
    </row>
    <row r="8" spans="1:34" x14ac:dyDescent="0.25">
      <c r="A8">
        <f t="shared" si="6"/>
        <v>4</v>
      </c>
      <c r="B8">
        <f t="shared" si="5"/>
        <v>1</v>
      </c>
      <c r="E8">
        <f>E7+B8*(ff(E7,A8))</f>
        <v>9.9999999999999978E-2</v>
      </c>
      <c r="F8">
        <f>IF(A8&lt;5,(F7+0.5*B8)/(2*B8+1),(F7)/(2*B8+1) )</f>
        <v>0.24814814814814815</v>
      </c>
      <c r="H8">
        <f t="shared" si="7"/>
        <v>0.17407407407407405</v>
      </c>
      <c r="I8">
        <f>J7+B8*(ff(J7,A8))</f>
        <v>0.4</v>
      </c>
      <c r="J8">
        <f>J7+B8*AVERAGE(ff(I8,A8),ff(J7,A8))</f>
        <v>9.9999999999999978E-2</v>
      </c>
      <c r="L8">
        <f>ff(P7,A8)</f>
        <v>1.1111111111111127E-2</v>
      </c>
      <c r="M8">
        <f>ff(P7+L8/2*B8,A8)</f>
        <v>0</v>
      </c>
      <c r="N8">
        <f>ff(P7+M8/2*B8,A8)</f>
        <v>1.1111111111111127E-2</v>
      </c>
      <c r="O8">
        <f>ff(P7+N8*B8,A8)</f>
        <v>-1.1111111111111072E-2</v>
      </c>
      <c r="P8">
        <f>P7+(1/6*L8+1/3*M8+1/3*N8+1/6*O8)*B8</f>
        <v>0.24814814814814815</v>
      </c>
      <c r="R8">
        <f>ff(U7,A8)</f>
        <v>-0.71111111111111103</v>
      </c>
      <c r="S8">
        <f>ff(U7+R8/2*B8,A8)</f>
        <v>0</v>
      </c>
      <c r="T8">
        <f>ff(U7-1*R8*B8+S8*2*B8,A8)</f>
        <v>-2.1333333333333329</v>
      </c>
      <c r="U8">
        <f>U7+(1/6*R8+2/3*S8+1/3*T8)*B8</f>
        <v>-0.22407407407407387</v>
      </c>
      <c r="W8">
        <f>W7+B8/24*(55*ff(W7,A8)-59*ff(W6,A8)+37*ff(W5,A8)-9*ff(W4,A8))</f>
        <v>-1.6</v>
      </c>
      <c r="AA8">
        <f>A8</f>
        <v>4</v>
      </c>
      <c r="AB8">
        <f>E8</f>
        <v>9.9999999999999978E-2</v>
      </c>
      <c r="AC8">
        <f>F8</f>
        <v>0.24814814814814815</v>
      </c>
      <c r="AD8">
        <f t="shared" si="0"/>
        <v>0.17407407407407405</v>
      </c>
      <c r="AE8">
        <f t="shared" si="1"/>
        <v>9.9999999999999978E-2</v>
      </c>
      <c r="AF8">
        <f t="shared" si="2"/>
        <v>0.24814814814814815</v>
      </c>
      <c r="AG8">
        <f t="shared" si="3"/>
        <v>-0.22407407407407387</v>
      </c>
      <c r="AH8">
        <f t="shared" si="4"/>
        <v>-1.6</v>
      </c>
    </row>
    <row r="9" spans="1:34" x14ac:dyDescent="0.25">
      <c r="A9">
        <f t="shared" si="6"/>
        <v>5</v>
      </c>
      <c r="B9">
        <f t="shared" si="5"/>
        <v>1</v>
      </c>
      <c r="E9">
        <f>E8+B9*(ff(E8,A9))</f>
        <v>-9.9999999999999978E-2</v>
      </c>
      <c r="F9">
        <f t="shared" ref="F6:F69" si="8">IF(A9&lt;5,(F8+0.5*B9)/(2*B9+1),(F8)/(2*B9+1) )</f>
        <v>8.2716049382716053E-2</v>
      </c>
      <c r="H9">
        <f t="shared" si="7"/>
        <v>-8.6419753086419623E-3</v>
      </c>
      <c r="I9">
        <f>J8+B9*(ff(J8,A9))</f>
        <v>-9.9999999999999978E-2</v>
      </c>
      <c r="J9">
        <f>J8+B9*AVERAGE(ff(I9,A9),ff(J8,A9))</f>
        <v>9.9999999999999978E-2</v>
      </c>
      <c r="L9">
        <f>ff(P8,A9)</f>
        <v>-0.49629629629629629</v>
      </c>
      <c r="M9">
        <f>ff(P8+L9/2*B9,A9)</f>
        <v>0</v>
      </c>
      <c r="N9">
        <f>ff(P8+M9/2*B9,A9)</f>
        <v>-0.49629629629629629</v>
      </c>
      <c r="O9">
        <f>ff(P8+N9*B9,A9)</f>
        <v>0.49629629629629629</v>
      </c>
      <c r="P9">
        <f>P8+(1/6*L9+1/3*M9+1/3*N9+1/6*O9)*B9</f>
        <v>8.2716049382716067E-2</v>
      </c>
      <c r="R9">
        <f>ff(U8,A9)</f>
        <v>0.44814814814814774</v>
      </c>
      <c r="S9">
        <f>ff(U8+R9/2*B9,A9)</f>
        <v>0</v>
      </c>
      <c r="T9">
        <f>ff(U8-1*R9*B9+S9*2*B9,A9)</f>
        <v>1.3444444444444432</v>
      </c>
      <c r="U9">
        <f>U8+(1/6*R9+2/3*S9+1/3*T9)*B9</f>
        <v>0.29876543209876516</v>
      </c>
      <c r="W9">
        <f>W8+B9/24*(55*ff(W8,A9)-59*ff(W7,A9)+37*ff(W6,A9)-9*ff(W5,A9))</f>
        <v>7.6916666666666647</v>
      </c>
      <c r="AA9">
        <f>A9</f>
        <v>5</v>
      </c>
      <c r="AB9">
        <f>E9</f>
        <v>-9.9999999999999978E-2</v>
      </c>
      <c r="AC9">
        <f>F9</f>
        <v>8.2716049382716053E-2</v>
      </c>
      <c r="AD9">
        <f t="shared" si="0"/>
        <v>-8.6419753086419623E-3</v>
      </c>
      <c r="AE9">
        <f t="shared" si="1"/>
        <v>9.9999999999999978E-2</v>
      </c>
      <c r="AF9">
        <f t="shared" si="2"/>
        <v>8.2716049382716067E-2</v>
      </c>
      <c r="AG9">
        <f t="shared" si="3"/>
        <v>0.29876543209876516</v>
      </c>
      <c r="AH9">
        <f t="shared" si="4"/>
        <v>7.6916666666666647</v>
      </c>
    </row>
    <row r="10" spans="1:34" x14ac:dyDescent="0.25">
      <c r="A10">
        <f t="shared" si="6"/>
        <v>6</v>
      </c>
      <c r="B10">
        <f t="shared" si="5"/>
        <v>1</v>
      </c>
      <c r="E10">
        <f>E9+B10*(ff(E9,A10))</f>
        <v>9.9999999999999978E-2</v>
      </c>
      <c r="F10">
        <f t="shared" si="8"/>
        <v>2.757201646090535E-2</v>
      </c>
      <c r="H10">
        <f t="shared" si="7"/>
        <v>6.3786008230452662E-2</v>
      </c>
      <c r="I10">
        <f>J9+B10*(ff(J9,A10))</f>
        <v>-9.9999999999999978E-2</v>
      </c>
      <c r="J10">
        <f>J9+B10*AVERAGE(ff(I10,A10),ff(J9,A10))</f>
        <v>9.9999999999999978E-2</v>
      </c>
      <c r="L10">
        <f>ff(P9,A10)</f>
        <v>-0.16543209876543213</v>
      </c>
      <c r="M10">
        <f>ff(P9+L10/2*B10,A10)</f>
        <v>0</v>
      </c>
      <c r="N10">
        <f>ff(P9+M10/2*B10,A10)</f>
        <v>-0.16543209876543213</v>
      </c>
      <c r="O10">
        <f>ff(P9+N10*B10,A10)</f>
        <v>0.16543209876543213</v>
      </c>
      <c r="P10">
        <f>P9+(1/6*L10+1/3*M10+1/3*N10+1/6*O10)*B10</f>
        <v>2.7572016460905353E-2</v>
      </c>
      <c r="R10">
        <f>ff(U9,A10)</f>
        <v>-0.59753086419753032</v>
      </c>
      <c r="S10">
        <f>ff(U9+R10/2*B10,A10)</f>
        <v>0</v>
      </c>
      <c r="T10">
        <f>ff(U9-1*R10*B10+S10*2*B10,A10)</f>
        <v>-1.792592592592591</v>
      </c>
      <c r="U10">
        <f>U9+(1/6*R10+2/3*S10+1/3*T10)*B10</f>
        <v>-0.39835390946502025</v>
      </c>
      <c r="W10">
        <f>W9+B10/24*(55*ff(W9,A10)-59*ff(W8,A10)+37*ff(W7,A10)-9*ff(W6,A10))</f>
        <v>-36.58680555555555</v>
      </c>
      <c r="AA10">
        <f>A10</f>
        <v>6</v>
      </c>
      <c r="AB10">
        <f>E10</f>
        <v>9.9999999999999978E-2</v>
      </c>
      <c r="AC10">
        <f>F10</f>
        <v>2.757201646090535E-2</v>
      </c>
      <c r="AD10">
        <f t="shared" si="0"/>
        <v>6.3786008230452662E-2</v>
      </c>
      <c r="AE10">
        <f t="shared" si="1"/>
        <v>9.9999999999999978E-2</v>
      </c>
      <c r="AF10">
        <f t="shared" si="2"/>
        <v>2.7572016460905353E-2</v>
      </c>
      <c r="AG10">
        <f t="shared" si="3"/>
        <v>-0.39835390946502025</v>
      </c>
      <c r="AH10">
        <f t="shared" si="4"/>
        <v>-36.58680555555555</v>
      </c>
    </row>
    <row r="11" spans="1:34" x14ac:dyDescent="0.25">
      <c r="A11">
        <f t="shared" si="6"/>
        <v>7</v>
      </c>
      <c r="B11">
        <f t="shared" si="5"/>
        <v>1</v>
      </c>
      <c r="E11">
        <f>E10+B11*(ff(E10,A11))</f>
        <v>-9.9999999999999978E-2</v>
      </c>
      <c r="F11">
        <f t="shared" si="8"/>
        <v>9.1906721536351172E-3</v>
      </c>
      <c r="H11">
        <f t="shared" si="7"/>
        <v>-4.5404663923182431E-2</v>
      </c>
      <c r="I11">
        <f>J10+B11*(ff(J10,A11))</f>
        <v>-9.9999999999999978E-2</v>
      </c>
      <c r="J11">
        <f>J10+B11*AVERAGE(ff(I11,A11),ff(J10,A11))</f>
        <v>9.9999999999999978E-2</v>
      </c>
      <c r="L11">
        <f>ff(P10,A11)</f>
        <v>-5.5144032921810707E-2</v>
      </c>
      <c r="M11">
        <f>ff(P10+L11/2*B11,A11)</f>
        <v>0</v>
      </c>
      <c r="N11">
        <f>ff(P10+M11/2*B11,A11)</f>
        <v>-5.5144032921810707E-2</v>
      </c>
      <c r="O11">
        <f>ff(P10+N11*B11,A11)</f>
        <v>5.5144032921810707E-2</v>
      </c>
      <c r="P11">
        <f>P10+(1/6*L11+1/3*M11+1/3*N11+1/6*O11)*B11</f>
        <v>9.1906721536351155E-3</v>
      </c>
      <c r="R11">
        <f>ff(U10,A11)</f>
        <v>0.7967078189300405</v>
      </c>
      <c r="S11">
        <f>ff(U10+R11/2*B11,A11)</f>
        <v>0</v>
      </c>
      <c r="T11">
        <f>ff(U10-1*R11*B11+S11*2*B11,A11)</f>
        <v>2.3901234567901213</v>
      </c>
      <c r="U11">
        <f>U10+(1/6*R11+2/3*S11+1/3*T11)*B11</f>
        <v>0.53113854595336019</v>
      </c>
      <c r="W11">
        <f>W10+B11/24*(55*ff(W10,A11)-59*ff(W9,A11)+37*ff(W8,A11)-9*ff(W7,A11))</f>
        <v>174.15341435185181</v>
      </c>
      <c r="AA11">
        <f>A11</f>
        <v>7</v>
      </c>
      <c r="AB11">
        <f>E11</f>
        <v>-9.9999999999999978E-2</v>
      </c>
      <c r="AC11">
        <f>F11</f>
        <v>9.1906721536351172E-3</v>
      </c>
      <c r="AD11">
        <f t="shared" si="0"/>
        <v>-4.5404663923182431E-2</v>
      </c>
      <c r="AE11">
        <f t="shared" si="1"/>
        <v>9.9999999999999978E-2</v>
      </c>
      <c r="AF11">
        <f t="shared" si="2"/>
        <v>9.1906721536351155E-3</v>
      </c>
      <c r="AG11">
        <f t="shared" si="3"/>
        <v>0.53113854595336019</v>
      </c>
      <c r="AH11">
        <f t="shared" si="4"/>
        <v>174.15341435185181</v>
      </c>
    </row>
    <row r="12" spans="1:34" x14ac:dyDescent="0.25">
      <c r="A12">
        <f t="shared" si="6"/>
        <v>8</v>
      </c>
      <c r="B12">
        <f t="shared" si="5"/>
        <v>1</v>
      </c>
      <c r="E12">
        <f>E11+B12*(ff(E11,A12))</f>
        <v>9.9999999999999978E-2</v>
      </c>
      <c r="F12">
        <f t="shared" si="8"/>
        <v>3.0635573845450392E-3</v>
      </c>
      <c r="H12">
        <f t="shared" si="7"/>
        <v>5.153177869227251E-2</v>
      </c>
      <c r="I12">
        <f>J11+B12*(ff(J11,A12))</f>
        <v>-9.9999999999999978E-2</v>
      </c>
      <c r="J12">
        <f>J11+B12*AVERAGE(ff(I12,A12),ff(J11,A12))</f>
        <v>9.9999999999999978E-2</v>
      </c>
      <c r="L12">
        <f>ff(P11,A12)</f>
        <v>-1.8381344307270231E-2</v>
      </c>
      <c r="M12">
        <f>ff(P11+L12/2*B12,A12)</f>
        <v>0</v>
      </c>
      <c r="N12">
        <f>ff(P11+M12/2*B12,A12)</f>
        <v>-1.8381344307270231E-2</v>
      </c>
      <c r="O12">
        <f>ff(P11+N12*B12,A12)</f>
        <v>1.8381344307270231E-2</v>
      </c>
      <c r="P12">
        <f>P11+(1/6*L12+1/3*M12+1/3*N12+1/6*O12)*B12</f>
        <v>3.0635573845450379E-3</v>
      </c>
      <c r="R12">
        <f>ff(U11,A12)</f>
        <v>-1.0622770919067204</v>
      </c>
      <c r="S12">
        <f>ff(U11+R12/2*B12,A12)</f>
        <v>0</v>
      </c>
      <c r="T12">
        <f>ff(U11-1*R12*B12+S12*2*B12,A12)</f>
        <v>-3.1868312757201611</v>
      </c>
      <c r="U12">
        <f>U11+(1/6*R12+2/3*S12+1/3*T12)*B12</f>
        <v>-0.70818472793781351</v>
      </c>
      <c r="W12">
        <f>W11+B12/24*(55*ff(W11,A12)-59*ff(W10,A12)+37*ff(W9,A12)-9*ff(W8,A12))</f>
        <v>-828.85083429783924</v>
      </c>
      <c r="AA12">
        <f>A12</f>
        <v>8</v>
      </c>
      <c r="AB12">
        <f>E12</f>
        <v>9.9999999999999978E-2</v>
      </c>
      <c r="AC12">
        <f>F12</f>
        <v>3.0635573845450392E-3</v>
      </c>
      <c r="AD12">
        <f t="shared" si="0"/>
        <v>5.153177869227251E-2</v>
      </c>
      <c r="AE12">
        <f t="shared" si="1"/>
        <v>9.9999999999999978E-2</v>
      </c>
      <c r="AF12">
        <f t="shared" si="2"/>
        <v>3.0635573845450379E-3</v>
      </c>
      <c r="AG12">
        <f t="shared" si="3"/>
        <v>-0.70818472793781351</v>
      </c>
      <c r="AH12">
        <f t="shared" si="4"/>
        <v>-828.85083429783924</v>
      </c>
    </row>
    <row r="13" spans="1:34" x14ac:dyDescent="0.25">
      <c r="A13">
        <f t="shared" si="6"/>
        <v>9</v>
      </c>
      <c r="B13">
        <f t="shared" si="5"/>
        <v>1</v>
      </c>
      <c r="E13">
        <f>E12+B13*(ff(E12,A13))</f>
        <v>-9.9999999999999978E-2</v>
      </c>
      <c r="F13">
        <f t="shared" si="8"/>
        <v>1.0211857948483464E-3</v>
      </c>
      <c r="H13">
        <f t="shared" si="7"/>
        <v>-4.9489407102575815E-2</v>
      </c>
      <c r="I13">
        <f>J12+B13*(ff(J12,A13))</f>
        <v>-9.9999999999999978E-2</v>
      </c>
      <c r="J13">
        <f>J12+B13*AVERAGE(ff(I13,A13),ff(J12,A13))</f>
        <v>9.9999999999999978E-2</v>
      </c>
      <c r="L13">
        <f>ff(P12,A13)</f>
        <v>-6.1271147690900758E-3</v>
      </c>
      <c r="M13">
        <f>ff(P12+L13/2*B13,A13)</f>
        <v>0</v>
      </c>
      <c r="N13">
        <f>ff(P12+M13/2*B13,A13)</f>
        <v>-6.1271147690900758E-3</v>
      </c>
      <c r="O13">
        <f>ff(P12+N13*B13,A13)</f>
        <v>6.1271147690900758E-3</v>
      </c>
      <c r="P13">
        <f>P12+(1/6*L13+1/3*M13+1/3*N13+1/6*O13)*B13</f>
        <v>1.021185794848346E-3</v>
      </c>
      <c r="R13">
        <f>ff(U12,A13)</f>
        <v>1.416369455875627</v>
      </c>
      <c r="S13">
        <f>ff(U12+R13/2*B13,A13)</f>
        <v>0</v>
      </c>
      <c r="T13">
        <f>ff(U12-1*R13*B13+S13*2*B13,A13)</f>
        <v>4.2491083676268815</v>
      </c>
      <c r="U13">
        <f>U12+(1/6*R13+2/3*S13+1/3*T13)*B13</f>
        <v>0.94424630391708475</v>
      </c>
      <c r="W13">
        <f>W12+B13/24*(55*ff(W12,A13)-59*ff(W11,A13)+37*ff(W10,A13)-9*ff(W9,A13))</f>
        <v>3944.8811772601575</v>
      </c>
      <c r="AA13">
        <f>A13</f>
        <v>9</v>
      </c>
      <c r="AB13">
        <f>E13</f>
        <v>-9.9999999999999978E-2</v>
      </c>
      <c r="AC13">
        <f>F13</f>
        <v>1.0211857948483464E-3</v>
      </c>
      <c r="AD13">
        <f t="shared" si="0"/>
        <v>-4.9489407102575815E-2</v>
      </c>
      <c r="AE13">
        <f t="shared" si="1"/>
        <v>9.9999999999999978E-2</v>
      </c>
      <c r="AF13">
        <f t="shared" si="2"/>
        <v>1.021185794848346E-3</v>
      </c>
      <c r="AG13">
        <f t="shared" si="3"/>
        <v>0.94424630391708475</v>
      </c>
      <c r="AH13">
        <f t="shared" si="4"/>
        <v>3944.8811772601575</v>
      </c>
    </row>
    <row r="14" spans="1:34" x14ac:dyDescent="0.25">
      <c r="A14">
        <f t="shared" si="6"/>
        <v>10</v>
      </c>
      <c r="B14">
        <f t="shared" si="5"/>
        <v>1</v>
      </c>
      <c r="E14">
        <f>E13+B14*(ff(E13,A14))</f>
        <v>9.9999999999999978E-2</v>
      </c>
      <c r="F14">
        <f t="shared" si="8"/>
        <v>3.4039526494944878E-4</v>
      </c>
      <c r="H14">
        <f t="shared" si="7"/>
        <v>5.0170197632474711E-2</v>
      </c>
      <c r="I14">
        <f>J13+B14*(ff(J13,A14))</f>
        <v>-9.9999999999999978E-2</v>
      </c>
      <c r="J14">
        <f>J13+B14*AVERAGE(ff(I14,A14),ff(J13,A14))</f>
        <v>9.9999999999999978E-2</v>
      </c>
      <c r="L14">
        <f>ff(P13,A14)</f>
        <v>-2.0423715896966919E-3</v>
      </c>
      <c r="M14">
        <f>ff(P13+L14/2*B14,A14)</f>
        <v>0</v>
      </c>
      <c r="N14">
        <f>ff(P13+M14/2*B14,A14)</f>
        <v>-2.0423715896966919E-3</v>
      </c>
      <c r="O14">
        <f>ff(P13+N14*B14,A14)</f>
        <v>2.0423715896966919E-3</v>
      </c>
      <c r="P14">
        <f>P13+(1/6*L14+1/3*M14+1/3*N14+1/6*O14)*B14</f>
        <v>3.4039526494944862E-4</v>
      </c>
      <c r="R14">
        <f>ff(U13,A14)</f>
        <v>-1.8884926078341695</v>
      </c>
      <c r="S14">
        <f>ff(U13+R14/2*B14,A14)</f>
        <v>0</v>
      </c>
      <c r="T14">
        <f>ff(U13-1*R14*B14+S14*2*B14,A14)</f>
        <v>-5.6654778235025081</v>
      </c>
      <c r="U14">
        <f>U13+(1/6*R14+2/3*S14+1/3*T14)*B14</f>
        <v>-1.2589950718894463</v>
      </c>
      <c r="W14">
        <f>W13+B14/24*(55*ff(W13,A14)-59*ff(W12,A14)+37*ff(W11,A14)-9*ff(W10,A14))</f>
        <v>-18775.420618898144</v>
      </c>
      <c r="AA14">
        <f>A14</f>
        <v>10</v>
      </c>
      <c r="AB14">
        <f>E14</f>
        <v>9.9999999999999978E-2</v>
      </c>
      <c r="AC14">
        <f>F14</f>
        <v>3.4039526494944878E-4</v>
      </c>
      <c r="AD14">
        <f t="shared" si="0"/>
        <v>5.0170197632474711E-2</v>
      </c>
      <c r="AE14">
        <f t="shared" si="1"/>
        <v>9.9999999999999978E-2</v>
      </c>
      <c r="AF14">
        <f t="shared" si="2"/>
        <v>3.4039526494944862E-4</v>
      </c>
      <c r="AG14">
        <f t="shared" si="3"/>
        <v>-1.2589950718894463</v>
      </c>
      <c r="AH14">
        <f t="shared" si="4"/>
        <v>-18775.420618898144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prob3</vt:lpstr>
      <vt:lpstr>prob3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dcterms:created xsi:type="dcterms:W3CDTF">2015-11-21T01:52:18Z</dcterms:created>
  <dcterms:modified xsi:type="dcterms:W3CDTF">2015-12-01T03:30:44Z</dcterms:modified>
</cp:coreProperties>
</file>